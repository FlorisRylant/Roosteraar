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d7ddb0f93942e2/Bureaublad/Programmeren/Roosteraar/"/>
    </mc:Choice>
  </mc:AlternateContent>
  <xr:revisionPtr revIDLastSave="273" documentId="8_{9AD7F6EA-216E-477D-9B1F-E7451ED19AE8}" xr6:coauthVersionLast="47" xr6:coauthVersionMax="47" xr10:uidLastSave="{CFCF9026-B7BD-45C5-AFE3-A62B89617B39}"/>
  <bookViews>
    <workbookView xWindow="-108" yWindow="-108" windowWidth="23256" windowHeight="12456" xr2:uid="{0639D463-8122-4014-BD61-4205C117E792}"/>
  </bookViews>
  <sheets>
    <sheet name="UI" sheetId="1" r:id="rId1"/>
    <sheet name="Rooster" sheetId="2" r:id="rId2"/>
    <sheet name="Less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2" i="3"/>
  <c r="B3" i="3"/>
  <c r="B4" i="3"/>
  <c r="B5" i="3"/>
  <c r="B6" i="3"/>
  <c r="B7" i="3"/>
  <c r="B8" i="3"/>
  <c r="B9" i="3"/>
  <c r="B10" i="3"/>
  <c r="B11" i="3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1" i="2" a="1"/>
  <c r="C1" i="2" s="1"/>
  <c r="E200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C2" i="3" a="1"/>
  <c r="C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1" i="3" a="1"/>
  <c r="C1" i="3" s="1"/>
  <c r="G12" i="3"/>
  <c r="G13" i="3"/>
  <c r="G18" i="3"/>
  <c r="G22" i="3"/>
  <c r="G23" i="3"/>
  <c r="G24" i="3"/>
  <c r="G26" i="3"/>
  <c r="G32" i="3"/>
  <c r="G33" i="3"/>
  <c r="G36" i="3"/>
  <c r="G37" i="3"/>
  <c r="G38" i="3"/>
  <c r="G39" i="3"/>
  <c r="G43" i="3"/>
  <c r="G44" i="3"/>
  <c r="G46" i="3"/>
  <c r="G47" i="3"/>
  <c r="G53" i="3"/>
  <c r="G58" i="3"/>
  <c r="G59" i="3"/>
  <c r="G62" i="3"/>
  <c r="G63" i="3"/>
  <c r="G64" i="3"/>
  <c r="G65" i="3"/>
  <c r="G66" i="3"/>
  <c r="G69" i="3"/>
  <c r="G72" i="3"/>
  <c r="G73" i="3"/>
  <c r="G74" i="3"/>
  <c r="G76" i="3"/>
  <c r="G78" i="3"/>
  <c r="G79" i="3"/>
  <c r="G82" i="3"/>
  <c r="G83" i="3"/>
  <c r="G84" i="3"/>
  <c r="G86" i="3"/>
  <c r="G93" i="3"/>
  <c r="G94" i="3"/>
  <c r="G97" i="3"/>
  <c r="G98" i="3"/>
  <c r="G99" i="3"/>
  <c r="G102" i="3"/>
  <c r="G103" i="3"/>
  <c r="G104" i="3"/>
  <c r="G106" i="3"/>
  <c r="G112" i="3"/>
  <c r="G113" i="3"/>
  <c r="G114" i="3"/>
  <c r="G115" i="3"/>
  <c r="G116" i="3"/>
  <c r="G118" i="3"/>
  <c r="G119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2" i="3"/>
  <c r="G3" i="3"/>
  <c r="G4" i="3"/>
  <c r="G7" i="3"/>
  <c r="G1" i="3"/>
  <c r="H2" i="3" a="1"/>
  <c r="H2" i="3" s="1"/>
  <c r="H3" i="3" a="1"/>
  <c r="H3" i="3" s="1"/>
  <c r="H13" i="3" a="1"/>
  <c r="H13" i="3" s="1"/>
  <c r="H14" i="3" a="1"/>
  <c r="H14" i="3" s="1"/>
  <c r="H16" i="3" a="1"/>
  <c r="H16" i="3" s="1"/>
  <c r="H23" i="3" a="1"/>
  <c r="H23" i="3" s="1"/>
  <c r="H25" i="3" a="1"/>
  <c r="H25" i="3" s="1"/>
  <c r="H26" i="3" a="1"/>
  <c r="H26" i="3" s="1"/>
  <c r="H27" i="3" a="1"/>
  <c r="H27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52" i="3" a="1"/>
  <c r="H52" i="3" s="1"/>
  <c r="H53" i="3" a="1"/>
  <c r="H53" i="3" s="1"/>
  <c r="H56" i="3" a="1"/>
  <c r="H56" i="3" s="1"/>
  <c r="H64" i="3" a="1"/>
  <c r="H64" i="3"/>
  <c r="H65" i="3" a="1"/>
  <c r="H65" i="3" s="1"/>
  <c r="H66" i="3" a="1"/>
  <c r="H66" i="3" s="1"/>
  <c r="H77" i="3" a="1"/>
  <c r="H77" i="3" s="1"/>
  <c r="H78" i="3" a="1"/>
  <c r="H78" i="3" s="1"/>
  <c r="H96" i="3" a="1"/>
  <c r="H96" i="3" s="1"/>
  <c r="H102" i="3" a="1"/>
  <c r="H102" i="3" s="1"/>
  <c r="H112" i="3" a="1"/>
  <c r="H112" i="3" s="1"/>
  <c r="H113" i="3" a="1"/>
  <c r="H113" i="3" s="1"/>
  <c r="H116" i="3" a="1"/>
  <c r="H116" i="3" s="1"/>
  <c r="H124" i="3" a="1"/>
  <c r="H124" i="3" s="1"/>
  <c r="H125" i="3" a="1"/>
  <c r="H125" i="3"/>
  <c r="H126" i="3" a="1"/>
  <c r="H126" i="3" s="1"/>
  <c r="H127" i="3" a="1"/>
  <c r="H127" i="3" s="1"/>
  <c r="H128" i="3" a="1"/>
  <c r="H128" i="3" s="1"/>
  <c r="H129" i="3" a="1"/>
  <c r="H129" i="3" s="1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1" i="3" a="1"/>
  <c r="H141" i="3" s="1"/>
  <c r="H142" i="3" a="1"/>
  <c r="H142" i="3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149" i="3" a="1"/>
  <c r="H149" i="3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 s="1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 s="1"/>
  <c r="H178" i="3" a="1"/>
  <c r="H178" i="3" s="1"/>
  <c r="H179" i="3" a="1"/>
  <c r="H179" i="3"/>
  <c r="H180" i="3" a="1"/>
  <c r="H180" i="3" s="1"/>
  <c r="H181" i="3" a="1"/>
  <c r="H181" i="3" s="1"/>
  <c r="H182" i="3" a="1"/>
  <c r="H182" i="3" s="1"/>
  <c r="H183" i="3" a="1"/>
  <c r="H183" i="3" s="1"/>
  <c r="H184" i="3" a="1"/>
  <c r="H184" i="3" s="1"/>
  <c r="H185" i="3" a="1"/>
  <c r="H185" i="3"/>
  <c r="H186" i="3" a="1"/>
  <c r="H186" i="3" s="1"/>
  <c r="H187" i="3" a="1"/>
  <c r="H187" i="3" s="1"/>
  <c r="H188" i="3" a="1"/>
  <c r="H188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 s="1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/>
  <c r="H210" i="3" a="1"/>
  <c r="H210" i="3" s="1"/>
  <c r="H211" i="3" a="1"/>
  <c r="H211" i="3" s="1"/>
  <c r="H212" i="3" a="1"/>
  <c r="H212" i="3" s="1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 s="1"/>
  <c r="H224" i="3" a="1"/>
  <c r="H224" i="3" s="1"/>
  <c r="H225" i="3" a="1"/>
  <c r="H225" i="3" s="1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 s="1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1" i="3" a="1"/>
  <c r="H241" i="3" s="1"/>
  <c r="H242" i="3" a="1"/>
  <c r="H242" i="3" s="1"/>
  <c r="H243" i="3" a="1"/>
  <c r="H243" i="3" s="1"/>
  <c r="H244" i="3" a="1"/>
  <c r="H244" i="3" s="1"/>
  <c r="H245" i="3" a="1"/>
  <c r="H245" i="3" s="1"/>
  <c r="H246" i="3" a="1"/>
  <c r="H246" i="3" s="1"/>
  <c r="H247" i="3" a="1"/>
  <c r="H247" i="3" s="1"/>
  <c r="H248" i="3" a="1"/>
  <c r="H248" i="3" s="1"/>
  <c r="H249" i="3" a="1"/>
  <c r="H249" i="3" s="1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 s="1"/>
  <c r="H256" i="3" a="1"/>
  <c r="H256" i="3" s="1"/>
  <c r="H257" i="3" a="1"/>
  <c r="H257" i="3" s="1"/>
  <c r="H258" i="3" a="1"/>
  <c r="H258" i="3"/>
  <c r="H259" i="3" a="1"/>
  <c r="H259" i="3" s="1"/>
  <c r="H260" i="3" a="1"/>
  <c r="H260" i="3" s="1"/>
  <c r="H261" i="3" a="1"/>
  <c r="H261" i="3" s="1"/>
  <c r="H262" i="3" a="1"/>
  <c r="H262" i="3" s="1"/>
  <c r="H263" i="3" a="1"/>
  <c r="H263" i="3" s="1"/>
  <c r="H264" i="3" a="1"/>
  <c r="H264" i="3" s="1"/>
  <c r="H265" i="3" a="1"/>
  <c r="H265" i="3" s="1"/>
  <c r="H266" i="3" a="1"/>
  <c r="H266" i="3" s="1"/>
  <c r="H267" i="3" a="1"/>
  <c r="H267" i="3" s="1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 s="1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 s="1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 s="1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1" i="3" a="1"/>
  <c r="H301" i="3" s="1"/>
  <c r="H302" i="3" a="1"/>
  <c r="H302" i="3" s="1"/>
  <c r="H303" i="3" a="1"/>
  <c r="H303" i="3" s="1"/>
  <c r="H304" i="3" a="1"/>
  <c r="H304" i="3" s="1"/>
  <c r="H305" i="3" a="1"/>
  <c r="H305" i="3" s="1"/>
  <c r="H306" i="3" a="1"/>
  <c r="H306" i="3" s="1"/>
  <c r="H307" i="3" a="1"/>
  <c r="H307" i="3" s="1"/>
  <c r="H308" i="3" a="1"/>
  <c r="H308" i="3" s="1"/>
  <c r="H309" i="3" a="1"/>
  <c r="H309" i="3" s="1"/>
  <c r="H310" i="3" a="1"/>
  <c r="H310" i="3" s="1"/>
  <c r="H311" i="3" a="1"/>
  <c r="H311" i="3" s="1"/>
  <c r="H312" i="3" a="1"/>
  <c r="H312" i="3" s="1"/>
  <c r="H313" i="3" a="1"/>
  <c r="H313" i="3" s="1"/>
  <c r="H314" i="3" a="1"/>
  <c r="H314" i="3" s="1"/>
  <c r="H315" i="3" a="1"/>
  <c r="H315" i="3" s="1"/>
  <c r="H316" i="3" a="1"/>
  <c r="H316" i="3" s="1"/>
  <c r="H317" i="3" a="1"/>
  <c r="H317" i="3" s="1"/>
  <c r="H318" i="3" a="1"/>
  <c r="H318" i="3" s="1"/>
  <c r="H319" i="3" a="1"/>
  <c r="H319" i="3" s="1"/>
  <c r="H320" i="3" a="1"/>
  <c r="H320" i="3" s="1"/>
  <c r="H321" i="3" a="1"/>
  <c r="H321" i="3" s="1"/>
  <c r="H322" i="3" a="1"/>
  <c r="H322" i="3" s="1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/>
  <c r="H350" i="3" a="1"/>
  <c r="H350" i="3" s="1"/>
  <c r="H351" i="3" a="1"/>
  <c r="H351" i="3" s="1"/>
  <c r="H352" i="3" a="1"/>
  <c r="H352" i="3" s="1"/>
  <c r="H353" i="3" a="1"/>
  <c r="H353" i="3" s="1"/>
  <c r="H354" i="3" a="1"/>
  <c r="H354" i="3" s="1"/>
  <c r="H355" i="3" a="1"/>
  <c r="H355" i="3" s="1"/>
  <c r="H356" i="3" a="1"/>
  <c r="H356" i="3" s="1"/>
  <c r="H357" i="3" a="1"/>
  <c r="H357" i="3" s="1"/>
  <c r="H358" i="3" a="1"/>
  <c r="H358" i="3" s="1"/>
  <c r="H359" i="3" a="1"/>
  <c r="H359" i="3" s="1"/>
  <c r="H360" i="3" a="1"/>
  <c r="H360" i="3" s="1"/>
  <c r="H361" i="3" a="1"/>
  <c r="H361" i="3" s="1"/>
  <c r="H362" i="3" a="1"/>
  <c r="H362" i="3" s="1"/>
  <c r="H363" i="3" a="1"/>
  <c r="H363" i="3" s="1"/>
  <c r="H364" i="3" a="1"/>
  <c r="H364" i="3" s="1"/>
  <c r="H365" i="3" a="1"/>
  <c r="H365" i="3" s="1"/>
  <c r="H366" i="3" a="1"/>
  <c r="H366" i="3" s="1"/>
  <c r="H367" i="3" a="1"/>
  <c r="H367" i="3" s="1"/>
  <c r="H368" i="3" a="1"/>
  <c r="H368" i="3" s="1"/>
  <c r="H369" i="3" a="1"/>
  <c r="H369" i="3" s="1"/>
  <c r="H370" i="3" a="1"/>
  <c r="H370" i="3" s="1"/>
  <c r="H371" i="3" a="1"/>
  <c r="H371" i="3" s="1"/>
  <c r="H372" i="3" a="1"/>
  <c r="H372" i="3" s="1"/>
  <c r="H373" i="3" a="1"/>
  <c r="H373" i="3" s="1"/>
  <c r="H374" i="3" a="1"/>
  <c r="H374" i="3" s="1"/>
  <c r="H375" i="3" a="1"/>
  <c r="H375" i="3" s="1"/>
  <c r="H376" i="3" a="1"/>
  <c r="H376" i="3" s="1"/>
  <c r="H377" i="3" a="1"/>
  <c r="H377" i="3" s="1"/>
  <c r="H378" i="3" a="1"/>
  <c r="H378" i="3" s="1"/>
  <c r="H379" i="3" a="1"/>
  <c r="H379" i="3" s="1"/>
  <c r="H380" i="3" a="1"/>
  <c r="H380" i="3" s="1"/>
  <c r="H381" i="3" a="1"/>
  <c r="H381" i="3" s="1"/>
  <c r="H382" i="3" a="1"/>
  <c r="H382" i="3" s="1"/>
  <c r="H383" i="3" a="1"/>
  <c r="H383" i="3" s="1"/>
  <c r="H384" i="3" a="1"/>
  <c r="H384" i="3" s="1"/>
  <c r="H385" i="3" a="1"/>
  <c r="H385" i="3" s="1"/>
  <c r="H386" i="3" a="1"/>
  <c r="H386" i="3" s="1"/>
  <c r="H387" i="3" a="1"/>
  <c r="H387" i="3" s="1"/>
  <c r="H388" i="3" a="1"/>
  <c r="H388" i="3" s="1"/>
  <c r="H389" i="3" a="1"/>
  <c r="H389" i="3" s="1"/>
  <c r="H390" i="3" a="1"/>
  <c r="H390" i="3" s="1"/>
  <c r="H391" i="3" a="1"/>
  <c r="H391" i="3" s="1"/>
  <c r="H392" i="3" a="1"/>
  <c r="H392" i="3" s="1"/>
  <c r="H393" i="3" a="1"/>
  <c r="H393" i="3" s="1"/>
  <c r="H394" i="3" a="1"/>
  <c r="H394" i="3" s="1"/>
  <c r="H395" i="3" a="1"/>
  <c r="H395" i="3" s="1"/>
  <c r="H396" i="3" a="1"/>
  <c r="H396" i="3" s="1"/>
  <c r="H397" i="3" a="1"/>
  <c r="H397" i="3" s="1"/>
  <c r="H398" i="3" a="1"/>
  <c r="H398" i="3" s="1"/>
  <c r="H399" i="3" a="1"/>
  <c r="H399" i="3" s="1"/>
  <c r="H400" i="3" a="1"/>
  <c r="H400" i="3" s="1"/>
  <c r="H401" i="3" a="1"/>
  <c r="H401" i="3" s="1"/>
  <c r="H402" i="3" a="1"/>
  <c r="H402" i="3" s="1"/>
  <c r="H403" i="3" a="1"/>
  <c r="H403" i="3" s="1"/>
  <c r="H404" i="3" a="1"/>
  <c r="H404" i="3" s="1"/>
  <c r="H405" i="3" a="1"/>
  <c r="H405" i="3" s="1"/>
  <c r="H406" i="3" a="1"/>
  <c r="H406" i="3" s="1"/>
  <c r="H407" i="3" a="1"/>
  <c r="H407" i="3" s="1"/>
  <c r="H408" i="3" a="1"/>
  <c r="H408" i="3" s="1"/>
  <c r="H409" i="3" a="1"/>
  <c r="H409" i="3" s="1"/>
  <c r="H410" i="3" a="1"/>
  <c r="H410" i="3" s="1"/>
  <c r="H411" i="3" a="1"/>
  <c r="H411" i="3" s="1"/>
  <c r="H412" i="3" a="1"/>
  <c r="H412" i="3" s="1"/>
  <c r="H413" i="3" a="1"/>
  <c r="H413" i="3" s="1"/>
  <c r="H414" i="3" a="1"/>
  <c r="H414" i="3" s="1"/>
  <c r="H415" i="3" a="1"/>
  <c r="H415" i="3" s="1"/>
  <c r="H416" i="3" a="1"/>
  <c r="H416" i="3" s="1"/>
  <c r="H417" i="3" a="1"/>
  <c r="H417" i="3" s="1"/>
  <c r="H418" i="3" a="1"/>
  <c r="H418" i="3" s="1"/>
  <c r="H419" i="3" a="1"/>
  <c r="H419" i="3" s="1"/>
  <c r="H420" i="3" a="1"/>
  <c r="H420" i="3" s="1"/>
  <c r="H421" i="3" a="1"/>
  <c r="H421" i="3" s="1"/>
  <c r="H422" i="3" a="1"/>
  <c r="H422" i="3" s="1"/>
  <c r="H423" i="3" a="1"/>
  <c r="H423" i="3" s="1"/>
  <c r="H424" i="3" a="1"/>
  <c r="H424" i="3" s="1"/>
  <c r="H425" i="3" a="1"/>
  <c r="H425" i="3" s="1"/>
  <c r="H426" i="3" a="1"/>
  <c r="H426" i="3" s="1"/>
  <c r="H427" i="3" a="1"/>
  <c r="H427" i="3" s="1"/>
  <c r="H428" i="3" a="1"/>
  <c r="H428" i="3" s="1"/>
  <c r="H429" i="3" a="1"/>
  <c r="H429" i="3" s="1"/>
  <c r="H430" i="3" a="1"/>
  <c r="H430" i="3" s="1"/>
  <c r="H431" i="3" a="1"/>
  <c r="H431" i="3" s="1"/>
  <c r="H432" i="3" a="1"/>
  <c r="H432" i="3" s="1"/>
  <c r="H433" i="3" a="1"/>
  <c r="H433" i="3" s="1"/>
  <c r="H434" i="3" a="1"/>
  <c r="H434" i="3" s="1"/>
  <c r="H435" i="3" a="1"/>
  <c r="H435" i="3" s="1"/>
  <c r="H436" i="3" a="1"/>
  <c r="H436" i="3" s="1"/>
  <c r="H437" i="3" a="1"/>
  <c r="H437" i="3" s="1"/>
  <c r="H438" i="3" a="1"/>
  <c r="H438" i="3" s="1"/>
  <c r="H439" i="3" a="1"/>
  <c r="H439" i="3" s="1"/>
  <c r="H440" i="3" a="1"/>
  <c r="H440" i="3" s="1"/>
  <c r="H441" i="3" a="1"/>
  <c r="H441" i="3" s="1"/>
  <c r="H442" i="3" a="1"/>
  <c r="H442" i="3" s="1"/>
  <c r="H443" i="3" a="1"/>
  <c r="H443" i="3" s="1"/>
  <c r="H444" i="3" a="1"/>
  <c r="H444" i="3" s="1"/>
  <c r="H445" i="3" a="1"/>
  <c r="H445" i="3" s="1"/>
  <c r="H446" i="3" a="1"/>
  <c r="H446" i="3" s="1"/>
  <c r="H447" i="3" a="1"/>
  <c r="H447" i="3" s="1"/>
  <c r="H448" i="3" a="1"/>
  <c r="H448" i="3" s="1"/>
  <c r="H449" i="3" a="1"/>
  <c r="H449" i="3" s="1"/>
  <c r="H450" i="3" a="1"/>
  <c r="H450" i="3" s="1"/>
  <c r="H451" i="3" a="1"/>
  <c r="H451" i="3" s="1"/>
  <c r="H452" i="3" a="1"/>
  <c r="H452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58" i="3" a="1"/>
  <c r="H458" i="3" s="1"/>
  <c r="H459" i="3" a="1"/>
  <c r="H459" i="3" s="1"/>
  <c r="H460" i="3" a="1"/>
  <c r="H460" i="3" s="1"/>
  <c r="H461" i="3" a="1"/>
  <c r="H461" i="3" s="1"/>
  <c r="H462" i="3" a="1"/>
  <c r="H462" i="3" s="1"/>
  <c r="H463" i="3" a="1"/>
  <c r="H463" i="3" s="1"/>
  <c r="H464" i="3" a="1"/>
  <c r="H464" i="3" s="1"/>
  <c r="H465" i="3" a="1"/>
  <c r="H465" i="3" s="1"/>
  <c r="H466" i="3" a="1"/>
  <c r="H466" i="3" s="1"/>
  <c r="H467" i="3" a="1"/>
  <c r="H467" i="3" s="1"/>
  <c r="H468" i="3" a="1"/>
  <c r="H468" i="3"/>
  <c r="H469" i="3" a="1"/>
  <c r="H469" i="3" s="1"/>
  <c r="H470" i="3" a="1"/>
  <c r="H470" i="3" s="1"/>
  <c r="H471" i="3" a="1"/>
  <c r="H471" i="3" s="1"/>
  <c r="H472" i="3" a="1"/>
  <c r="H472" i="3" s="1"/>
  <c r="H473" i="3" a="1"/>
  <c r="H473" i="3" s="1"/>
  <c r="H474" i="3" a="1"/>
  <c r="H474" i="3" s="1"/>
  <c r="H475" i="3" a="1"/>
  <c r="H475" i="3" s="1"/>
  <c r="H476" i="3" a="1"/>
  <c r="H476" i="3" s="1"/>
  <c r="H477" i="3" a="1"/>
  <c r="H477" i="3" s="1"/>
  <c r="H478" i="3" a="1"/>
  <c r="H478" i="3" s="1"/>
  <c r="H479" i="3" a="1"/>
  <c r="H479" i="3" s="1"/>
  <c r="H480" i="3" a="1"/>
  <c r="H480" i="3" s="1"/>
  <c r="H481" i="3" a="1"/>
  <c r="H481" i="3" s="1"/>
  <c r="H482" i="3" a="1"/>
  <c r="H482" i="3" s="1"/>
  <c r="H483" i="3" a="1"/>
  <c r="H483" i="3" s="1"/>
  <c r="H484" i="3" a="1"/>
  <c r="H484" i="3" s="1"/>
  <c r="H485" i="3" a="1"/>
  <c r="H485" i="3" s="1"/>
  <c r="H486" i="3" a="1"/>
  <c r="H486" i="3" s="1"/>
  <c r="H487" i="3" a="1"/>
  <c r="H487" i="3" s="1"/>
  <c r="H488" i="3" a="1"/>
  <c r="H488" i="3" s="1"/>
  <c r="H489" i="3" a="1"/>
  <c r="H489" i="3" s="1"/>
  <c r="H490" i="3" a="1"/>
  <c r="H490" i="3" s="1"/>
  <c r="H491" i="3" a="1"/>
  <c r="H491" i="3" s="1"/>
  <c r="H492" i="3" a="1"/>
  <c r="H492" i="3" s="1"/>
  <c r="H493" i="3" a="1"/>
  <c r="H493" i="3" s="1"/>
  <c r="H494" i="3" a="1"/>
  <c r="H494" i="3" s="1"/>
  <c r="H495" i="3" a="1"/>
  <c r="H495" i="3" s="1"/>
  <c r="H496" i="3" a="1"/>
  <c r="H496" i="3" s="1"/>
  <c r="H497" i="3" a="1"/>
  <c r="H497" i="3" s="1"/>
  <c r="H498" i="3" a="1"/>
  <c r="H498" i="3" s="1"/>
  <c r="H499" i="3" a="1"/>
  <c r="H499" i="3" s="1"/>
  <c r="H500" i="3" a="1"/>
  <c r="H500" i="3" s="1"/>
  <c r="H501" i="3" a="1"/>
  <c r="H501" i="3"/>
  <c r="H502" i="3" a="1"/>
  <c r="H502" i="3" s="1"/>
  <c r="H503" i="3" a="1"/>
  <c r="H503" i="3" s="1"/>
  <c r="H504" i="3" a="1"/>
  <c r="H504" i="3" s="1"/>
  <c r="H505" i="3" a="1"/>
  <c r="H505" i="3" s="1"/>
  <c r="H506" i="3" a="1"/>
  <c r="H506" i="3" s="1"/>
  <c r="H507" i="3" a="1"/>
  <c r="H507" i="3" s="1"/>
  <c r="H508" i="3" a="1"/>
  <c r="H508" i="3" s="1"/>
  <c r="H509" i="3" a="1"/>
  <c r="H509" i="3" s="1"/>
  <c r="H510" i="3" a="1"/>
  <c r="H510" i="3" s="1"/>
  <c r="H511" i="3" a="1"/>
  <c r="H511" i="3" s="1"/>
  <c r="H512" i="3" a="1"/>
  <c r="H512" i="3" s="1"/>
  <c r="H513" i="3" a="1"/>
  <c r="H513" i="3" s="1"/>
  <c r="H514" i="3" a="1"/>
  <c r="H514" i="3" s="1"/>
  <c r="H515" i="3" a="1"/>
  <c r="H515" i="3" s="1"/>
  <c r="H516" i="3" a="1"/>
  <c r="H516" i="3" s="1"/>
  <c r="H517" i="3" a="1"/>
  <c r="H517" i="3" s="1"/>
  <c r="H518" i="3" a="1"/>
  <c r="H518" i="3"/>
  <c r="H519" i="3" a="1"/>
  <c r="H519" i="3"/>
  <c r="H520" i="3" a="1"/>
  <c r="H520" i="3" s="1"/>
  <c r="H521" i="3" a="1"/>
  <c r="H521" i="3" s="1"/>
  <c r="H522" i="3" a="1"/>
  <c r="H522" i="3" s="1"/>
  <c r="H523" i="3" a="1"/>
  <c r="H523" i="3" s="1"/>
  <c r="H524" i="3" a="1"/>
  <c r="H524" i="3"/>
  <c r="H525" i="3" a="1"/>
  <c r="H525" i="3" s="1"/>
  <c r="H526" i="3" a="1"/>
  <c r="H526" i="3" s="1"/>
  <c r="H527" i="3" a="1"/>
  <c r="H527" i="3" s="1"/>
  <c r="H528" i="3" a="1"/>
  <c r="H528" i="3" s="1"/>
  <c r="H529" i="3" a="1"/>
  <c r="H529" i="3"/>
  <c r="H530" i="3" a="1"/>
  <c r="H530" i="3" s="1"/>
  <c r="H531" i="3" a="1"/>
  <c r="H531" i="3" s="1"/>
  <c r="H532" i="3" a="1"/>
  <c r="H532" i="3" s="1"/>
  <c r="H533" i="3" a="1"/>
  <c r="H533" i="3" s="1"/>
  <c r="H534" i="3" a="1"/>
  <c r="H534" i="3" s="1"/>
  <c r="H535" i="3" a="1"/>
  <c r="H535" i="3" s="1"/>
  <c r="H536" i="3" a="1"/>
  <c r="H536" i="3" s="1"/>
  <c r="H537" i="3" a="1"/>
  <c r="H537" i="3" s="1"/>
  <c r="H538" i="3" a="1"/>
  <c r="H538" i="3" s="1"/>
  <c r="H539" i="3" a="1"/>
  <c r="H539" i="3" s="1"/>
  <c r="H540" i="3" a="1"/>
  <c r="H540" i="3" s="1"/>
  <c r="H541" i="3" a="1"/>
  <c r="H541" i="3" s="1"/>
  <c r="H542" i="3" a="1"/>
  <c r="H542" i="3" s="1"/>
  <c r="H543" i="3" a="1"/>
  <c r="H543" i="3" s="1"/>
  <c r="H544" i="3" a="1"/>
  <c r="H544" i="3" s="1"/>
  <c r="H545" i="3" a="1"/>
  <c r="H545" i="3" s="1"/>
  <c r="H546" i="3" a="1"/>
  <c r="H546" i="3" s="1"/>
  <c r="H547" i="3" a="1"/>
  <c r="H547" i="3" s="1"/>
  <c r="H548" i="3" a="1"/>
  <c r="H548" i="3" s="1"/>
  <c r="H549" i="3" a="1"/>
  <c r="H549" i="3" s="1"/>
  <c r="H550" i="3" a="1"/>
  <c r="H550" i="3" s="1"/>
  <c r="H551" i="3" a="1"/>
  <c r="H551" i="3" s="1"/>
  <c r="H552" i="3" a="1"/>
  <c r="H552" i="3" s="1"/>
  <c r="H553" i="3" a="1"/>
  <c r="H553" i="3" s="1"/>
  <c r="H554" i="3" a="1"/>
  <c r="H554" i="3" s="1"/>
  <c r="H555" i="3" a="1"/>
  <c r="H555" i="3" s="1"/>
  <c r="H556" i="3" a="1"/>
  <c r="H556" i="3" s="1"/>
  <c r="H557" i="3" a="1"/>
  <c r="H557" i="3" s="1"/>
  <c r="H558" i="3" a="1"/>
  <c r="H558" i="3" s="1"/>
  <c r="H559" i="3" a="1"/>
  <c r="H559" i="3"/>
  <c r="H560" i="3" a="1"/>
  <c r="H560" i="3" s="1"/>
  <c r="H561" i="3" a="1"/>
  <c r="H561" i="3" s="1"/>
  <c r="H562" i="3" a="1"/>
  <c r="H562" i="3" s="1"/>
  <c r="H563" i="3" a="1"/>
  <c r="H563" i="3" s="1"/>
  <c r="H564" i="3" a="1"/>
  <c r="H564" i="3" s="1"/>
  <c r="H565" i="3" a="1"/>
  <c r="H565" i="3" s="1"/>
  <c r="H566" i="3" a="1"/>
  <c r="H566" i="3" s="1"/>
  <c r="H567" i="3" a="1"/>
  <c r="H567" i="3" s="1"/>
  <c r="H568" i="3" a="1"/>
  <c r="H568" i="3" s="1"/>
  <c r="H569" i="3" a="1"/>
  <c r="H569" i="3" s="1"/>
  <c r="H570" i="3" a="1"/>
  <c r="H570" i="3" s="1"/>
  <c r="H571" i="3" a="1"/>
  <c r="H571" i="3" s="1"/>
  <c r="H572" i="3" a="1"/>
  <c r="H572" i="3" s="1"/>
  <c r="H573" i="3" a="1"/>
  <c r="H573" i="3" s="1"/>
  <c r="H574" i="3" a="1"/>
  <c r="H574" i="3" s="1"/>
  <c r="H575" i="3" a="1"/>
  <c r="H575" i="3" s="1"/>
  <c r="H576" i="3" a="1"/>
  <c r="H576" i="3" s="1"/>
  <c r="H577" i="3" a="1"/>
  <c r="H577" i="3" s="1"/>
  <c r="H578" i="3" a="1"/>
  <c r="H578" i="3" s="1"/>
  <c r="H579" i="3" a="1"/>
  <c r="H579" i="3" s="1"/>
  <c r="H580" i="3" a="1"/>
  <c r="H580" i="3" s="1"/>
  <c r="H581" i="3" a="1"/>
  <c r="H581" i="3" s="1"/>
  <c r="H582" i="3" a="1"/>
  <c r="H582" i="3" s="1"/>
  <c r="H583" i="3" a="1"/>
  <c r="H583" i="3" s="1"/>
  <c r="H584" i="3" a="1"/>
  <c r="H584" i="3" s="1"/>
  <c r="H585" i="3" a="1"/>
  <c r="H585" i="3" s="1"/>
  <c r="H586" i="3" a="1"/>
  <c r="H586" i="3" s="1"/>
  <c r="H587" i="3" a="1"/>
  <c r="H587" i="3" s="1"/>
  <c r="H588" i="3" a="1"/>
  <c r="H588" i="3" s="1"/>
  <c r="H589" i="3" a="1"/>
  <c r="H589" i="3" s="1"/>
  <c r="H590" i="3" a="1"/>
  <c r="H590" i="3" s="1"/>
  <c r="H591" i="3" a="1"/>
  <c r="H591" i="3" s="1"/>
  <c r="H592" i="3" a="1"/>
  <c r="H592" i="3" s="1"/>
  <c r="H593" i="3" a="1"/>
  <c r="H593" i="3" s="1"/>
  <c r="H594" i="3" a="1"/>
  <c r="H594" i="3" s="1"/>
  <c r="H595" i="3" a="1"/>
  <c r="H595" i="3" s="1"/>
  <c r="H596" i="3" a="1"/>
  <c r="H596" i="3" s="1"/>
  <c r="H597" i="3" a="1"/>
  <c r="H597" i="3" s="1"/>
  <c r="H598" i="3" a="1"/>
  <c r="H598" i="3" s="1"/>
  <c r="H599" i="3" a="1"/>
  <c r="H599" i="3" s="1"/>
  <c r="H600" i="3" a="1"/>
  <c r="H600" i="3" s="1"/>
  <c r="H601" i="3" a="1"/>
  <c r="H601" i="3" s="1"/>
  <c r="H602" i="3" a="1"/>
  <c r="H602" i="3" s="1"/>
  <c r="H603" i="3" a="1"/>
  <c r="H603" i="3" s="1"/>
  <c r="H604" i="3" a="1"/>
  <c r="H604" i="3" s="1"/>
  <c r="H605" i="3" a="1"/>
  <c r="H605" i="3" s="1"/>
  <c r="H606" i="3" a="1"/>
  <c r="H606" i="3" s="1"/>
  <c r="H607" i="3" a="1"/>
  <c r="H607" i="3" s="1"/>
  <c r="H608" i="3" a="1"/>
  <c r="H608" i="3" s="1"/>
  <c r="H609" i="3" a="1"/>
  <c r="H609" i="3" s="1"/>
  <c r="H610" i="3" a="1"/>
  <c r="H610" i="3" s="1"/>
  <c r="H611" i="3" a="1"/>
  <c r="H611" i="3" s="1"/>
  <c r="H612" i="3" a="1"/>
  <c r="H612" i="3" s="1"/>
  <c r="H613" i="3" a="1"/>
  <c r="H613" i="3" s="1"/>
  <c r="H614" i="3" a="1"/>
  <c r="H614" i="3" s="1"/>
  <c r="H615" i="3" a="1"/>
  <c r="H615" i="3" s="1"/>
  <c r="H616" i="3" a="1"/>
  <c r="H616" i="3" s="1"/>
  <c r="H617" i="3" a="1"/>
  <c r="H617" i="3" s="1"/>
  <c r="H618" i="3" a="1"/>
  <c r="H618" i="3" s="1"/>
  <c r="H619" i="3" a="1"/>
  <c r="H619" i="3" s="1"/>
  <c r="H620" i="3" a="1"/>
  <c r="H620" i="3" s="1"/>
  <c r="H621" i="3" a="1"/>
  <c r="H621" i="3" s="1"/>
  <c r="H622" i="3" a="1"/>
  <c r="H622" i="3" s="1"/>
  <c r="H623" i="3" a="1"/>
  <c r="H623" i="3" s="1"/>
  <c r="H624" i="3" a="1"/>
  <c r="H624" i="3" s="1"/>
  <c r="H625" i="3" a="1"/>
  <c r="H625" i="3" s="1"/>
  <c r="F2" i="1" l="1" a="1"/>
  <c r="G11" i="3"/>
  <c r="G91" i="3"/>
  <c r="G90" i="3"/>
  <c r="G89" i="3"/>
  <c r="G9" i="3"/>
  <c r="G10" i="3"/>
  <c r="G35" i="3"/>
  <c r="H57" i="3" a="1"/>
  <c r="H57" i="3" s="1"/>
  <c r="G111" i="3"/>
  <c r="G87" i="3"/>
  <c r="G34" i="3"/>
  <c r="H115" i="3" a="1"/>
  <c r="H115" i="3" s="1"/>
  <c r="H55" i="3" a="1"/>
  <c r="H55" i="3" s="1"/>
  <c r="G109" i="3"/>
  <c r="G85" i="3"/>
  <c r="H114" i="3" a="1"/>
  <c r="H114" i="3" s="1"/>
  <c r="G8" i="3"/>
  <c r="G108" i="3"/>
  <c r="G31" i="3"/>
  <c r="G107" i="3"/>
  <c r="G57" i="3"/>
  <c r="G30" i="3"/>
  <c r="H51" i="3" a="1"/>
  <c r="H51" i="3" s="1"/>
  <c r="G5" i="3"/>
  <c r="G56" i="3"/>
  <c r="G29" i="3"/>
  <c r="H50" i="3" a="1"/>
  <c r="H50" i="3" s="1"/>
  <c r="G105" i="3"/>
  <c r="G27" i="3"/>
  <c r="G110" i="3"/>
  <c r="H110" i="3" a="1"/>
  <c r="H110" i="3" s="1"/>
  <c r="G51" i="3"/>
  <c r="G77" i="3"/>
  <c r="G50" i="3"/>
  <c r="G25" i="3"/>
  <c r="G49" i="3"/>
  <c r="H90" i="3" a="1"/>
  <c r="H90" i="3" s="1"/>
  <c r="G75" i="3"/>
  <c r="H30" i="3" a="1"/>
  <c r="H30" i="3" s="1"/>
  <c r="H76" i="3" a="1"/>
  <c r="H76" i="3" s="1"/>
  <c r="G96" i="3"/>
  <c r="G15" i="3"/>
  <c r="G95" i="3"/>
  <c r="G71" i="3"/>
  <c r="G42" i="3"/>
  <c r="G14" i="3"/>
  <c r="H75" i="3" a="1"/>
  <c r="H75" i="3" s="1"/>
  <c r="G70" i="3"/>
  <c r="H100" i="3" a="1"/>
  <c r="H100" i="3" s="1"/>
  <c r="G88" i="3"/>
  <c r="G68" i="3"/>
  <c r="H81" i="3" a="1"/>
  <c r="H81" i="3" s="1"/>
  <c r="H41" i="3" a="1"/>
  <c r="H41" i="3" s="1"/>
  <c r="G41" i="3"/>
  <c r="G20" i="3"/>
  <c r="G21" i="3"/>
  <c r="H80" i="3" a="1"/>
  <c r="H80" i="3" s="1"/>
  <c r="G40" i="3"/>
  <c r="G16" i="3"/>
  <c r="H101" i="3" a="1"/>
  <c r="H101" i="3" s="1"/>
  <c r="H120" i="3" a="1"/>
  <c r="H120" i="3" s="1"/>
  <c r="G81" i="3"/>
  <c r="H117" i="3" a="1"/>
  <c r="H117" i="3" s="1"/>
  <c r="G101" i="3"/>
  <c r="G80" i="3"/>
  <c r="G120" i="3"/>
  <c r="G100" i="3"/>
  <c r="G117" i="3"/>
  <c r="H60" i="3" a="1"/>
  <c r="H60" i="3" s="1"/>
  <c r="G52" i="3"/>
  <c r="C2" i="1" a="1"/>
  <c r="H87" i="3" a="1"/>
  <c r="H87" i="3" s="1"/>
  <c r="H24" i="3" a="1"/>
  <c r="H24" i="3" s="1"/>
  <c r="H12" i="3" a="1"/>
  <c r="H12" i="3" s="1"/>
  <c r="H123" i="3" a="1"/>
  <c r="H123" i="3" s="1"/>
  <c r="H111" i="3" a="1"/>
  <c r="H111" i="3" s="1"/>
  <c r="H99" i="3" a="1"/>
  <c r="H99" i="3" s="1"/>
  <c r="H86" i="3" a="1"/>
  <c r="H86" i="3" s="1"/>
  <c r="H63" i="3" a="1"/>
  <c r="H63" i="3" s="1"/>
  <c r="H49" i="3" a="1"/>
  <c r="H49" i="3" s="1"/>
  <c r="H74" i="3" a="1"/>
  <c r="H74" i="3" s="1"/>
  <c r="H11" i="3" a="1"/>
  <c r="H11" i="3" s="1"/>
  <c r="H88" i="3" a="1"/>
  <c r="H88" i="3" s="1"/>
  <c r="H1" i="3" a="1"/>
  <c r="H1" i="3" s="1"/>
  <c r="H122" i="3" a="1"/>
  <c r="H122" i="3" s="1"/>
  <c r="H98" i="3" a="1"/>
  <c r="H98" i="3" s="1"/>
  <c r="H85" i="3" a="1"/>
  <c r="H85" i="3" s="1"/>
  <c r="H62" i="3" a="1"/>
  <c r="H62" i="3" s="1"/>
  <c r="H47" i="3" a="1"/>
  <c r="H47" i="3" s="1"/>
  <c r="H10" i="3" a="1"/>
  <c r="H10" i="3" s="1"/>
  <c r="H48" i="3" a="1"/>
  <c r="H121" i="3" a="1"/>
  <c r="H109" i="3" a="1"/>
  <c r="H109" i="3" s="1"/>
  <c r="H97" i="3" a="1"/>
  <c r="H97" i="3" s="1"/>
  <c r="H73" i="3" a="1"/>
  <c r="H73" i="3" s="1"/>
  <c r="H61" i="3" a="1"/>
  <c r="H46" i="3" a="1"/>
  <c r="H46" i="3" s="1"/>
  <c r="H34" i="3" a="1"/>
  <c r="H34" i="3" s="1"/>
  <c r="H22" i="3" a="1"/>
  <c r="H22" i="3" s="1"/>
  <c r="H84" i="3" a="1"/>
  <c r="H84" i="3" s="1"/>
  <c r="H45" i="3" a="1"/>
  <c r="H9" i="3" a="1"/>
  <c r="H9" i="3" s="1"/>
  <c r="H108" i="3" a="1"/>
  <c r="H108" i="3" s="1"/>
  <c r="H72" i="3" a="1"/>
  <c r="H72" i="3" s="1"/>
  <c r="H33" i="3" a="1"/>
  <c r="H33" i="3" s="1"/>
  <c r="H21" i="3" a="1"/>
  <c r="H21" i="3" s="1"/>
  <c r="H119" i="3" a="1"/>
  <c r="H119" i="3" s="1"/>
  <c r="H107" i="3" a="1"/>
  <c r="H107" i="3" s="1"/>
  <c r="H95" i="3" a="1"/>
  <c r="H95" i="3" s="1"/>
  <c r="H83" i="3" a="1"/>
  <c r="H83" i="3" s="1"/>
  <c r="H59" i="3" a="1"/>
  <c r="H59" i="3" s="1"/>
  <c r="H44" i="3" a="1"/>
  <c r="H44" i="3" s="1"/>
  <c r="H20" i="3" a="1"/>
  <c r="H20" i="3" s="1"/>
  <c r="H8" i="3" a="1"/>
  <c r="H8" i="3" s="1"/>
  <c r="H106" i="3" a="1"/>
  <c r="H106" i="3" s="1"/>
  <c r="H71" i="3" a="1"/>
  <c r="H71" i="3" s="1"/>
  <c r="H32" i="3" a="1"/>
  <c r="H32" i="3" s="1"/>
  <c r="H19" i="3" a="1"/>
  <c r="H89" i="3" a="1"/>
  <c r="H89" i="3" s="1"/>
  <c r="H118" i="3" a="1"/>
  <c r="H118" i="3" s="1"/>
  <c r="H94" i="3" a="1"/>
  <c r="H94" i="3" s="1"/>
  <c r="H82" i="3" a="1"/>
  <c r="H82" i="3" s="1"/>
  <c r="H70" i="3" a="1"/>
  <c r="H70" i="3" s="1"/>
  <c r="H58" i="3" a="1"/>
  <c r="H58" i="3" s="1"/>
  <c r="H43" i="3" a="1"/>
  <c r="H43" i="3" s="1"/>
  <c r="H7" i="3" a="1"/>
  <c r="H7" i="3" s="1"/>
  <c r="H105" i="3" a="1"/>
  <c r="H105" i="3" s="1"/>
  <c r="H31" i="3" a="1"/>
  <c r="H31" i="3" s="1"/>
  <c r="H18" i="3" a="1"/>
  <c r="H18" i="3" s="1"/>
  <c r="H6" i="3" a="1"/>
  <c r="H93" i="3" a="1"/>
  <c r="H93" i="3" s="1"/>
  <c r="H69" i="3" a="1"/>
  <c r="H69" i="3" s="1"/>
  <c r="H42" i="3" a="1"/>
  <c r="H42" i="3" s="1"/>
  <c r="H17" i="3" a="1"/>
  <c r="H5" i="3" a="1"/>
  <c r="H5" i="3" s="1"/>
  <c r="H104" i="3" a="1"/>
  <c r="H104" i="3" s="1"/>
  <c r="H68" i="3" a="1"/>
  <c r="H68" i="3" s="1"/>
  <c r="H54" i="3" a="1"/>
  <c r="H29" i="3" a="1"/>
  <c r="H29" i="3" s="1"/>
  <c r="H92" i="3" a="1"/>
  <c r="H103" i="3" a="1"/>
  <c r="H103" i="3" s="1"/>
  <c r="H91" i="3" a="1"/>
  <c r="H91" i="3" s="1"/>
  <c r="H79" i="3" a="1"/>
  <c r="H79" i="3" s="1"/>
  <c r="H67" i="3" a="1"/>
  <c r="H40" i="3" a="1"/>
  <c r="H40" i="3" s="1"/>
  <c r="H28" i="3" a="1"/>
  <c r="H15" i="3" a="1"/>
  <c r="H15" i="3" s="1"/>
  <c r="H4" i="3" a="1"/>
  <c r="H4" i="3" s="1"/>
  <c r="F2" i="1" l="1"/>
  <c r="F1" i="1"/>
  <c r="C2" i="1"/>
  <c r="E15" i="1"/>
  <c r="E16" i="1"/>
  <c r="E22" i="1"/>
  <c r="E17" i="1"/>
  <c r="E23" i="1"/>
  <c r="E18" i="1"/>
  <c r="E24" i="1"/>
  <c r="E19" i="1"/>
  <c r="E25" i="1"/>
  <c r="E20" i="1"/>
  <c r="E21" i="1"/>
  <c r="G55" i="3"/>
  <c r="G60" i="3"/>
  <c r="H6" i="3"/>
  <c r="G6" i="3"/>
  <c r="H28" i="3"/>
  <c r="G28" i="3"/>
  <c r="H67" i="3"/>
  <c r="G67" i="3"/>
  <c r="H45" i="3"/>
  <c r="G45" i="3"/>
  <c r="H92" i="3"/>
  <c r="G92" i="3"/>
  <c r="H54" i="3"/>
  <c r="G54" i="3"/>
  <c r="H19" i="3"/>
  <c r="G19" i="3"/>
  <c r="H61" i="3"/>
  <c r="G61" i="3"/>
  <c r="H17" i="3"/>
  <c r="G17" i="3"/>
  <c r="H121" i="3"/>
  <c r="G121" i="3"/>
  <c r="H48" i="3"/>
  <c r="G48" i="3"/>
  <c r="B11" i="2" l="1" a="1"/>
  <c r="B11" i="2" s="1"/>
  <c r="J6" i="1" s="1" a="1"/>
  <c r="J6" i="1" s="1"/>
  <c r="B30" i="2" a="1"/>
  <c r="B30" i="2" s="1"/>
  <c r="M7" i="1" s="1" a="1"/>
  <c r="M7" i="1" s="1"/>
  <c r="B12" i="2" a="1"/>
  <c r="B12" i="2" s="1"/>
  <c r="J7" i="1" s="1" a="1"/>
  <c r="J7" i="1" s="1"/>
  <c r="B13" i="2" a="1"/>
  <c r="B13" i="2" s="1"/>
  <c r="J8" i="1" s="1" a="1"/>
  <c r="J8" i="1" s="1"/>
  <c r="B31" i="2" a="1"/>
  <c r="B31" i="2" s="1"/>
  <c r="M8" i="1" s="1" a="1"/>
  <c r="M8" i="1" s="1"/>
  <c r="B14" i="2" a="1"/>
  <c r="B14" i="2" s="1"/>
  <c r="J9" i="1" s="1" a="1"/>
  <c r="J9" i="1" s="1"/>
  <c r="B32" i="2" a="1"/>
  <c r="B32" i="2" s="1"/>
  <c r="M9" i="1" s="1" a="1"/>
  <c r="M9" i="1" s="1"/>
  <c r="B15" i="2" a="1"/>
  <c r="B15" i="2" s="1"/>
  <c r="K3" i="1" s="1" a="1"/>
  <c r="K3" i="1" s="1"/>
  <c r="B2" i="2" a="1"/>
  <c r="B2" i="2" s="1"/>
  <c r="I4" i="1" s="1" a="1"/>
  <c r="I4" i="1" s="1"/>
  <c r="B16" i="2" a="1"/>
  <c r="B16" i="2" s="1"/>
  <c r="K4" i="1" s="1" a="1"/>
  <c r="K4" i="1" s="1"/>
  <c r="B3" i="2" a="1"/>
  <c r="B3" i="2" s="1"/>
  <c r="I5" i="1" s="1" a="1"/>
  <c r="I5" i="1" s="1"/>
  <c r="B17" i="2" a="1"/>
  <c r="B17" i="2" s="1"/>
  <c r="K5" i="1" s="1" a="1"/>
  <c r="K5" i="1" s="1"/>
  <c r="B18" i="2" a="1"/>
  <c r="B18" i="2" s="1"/>
  <c r="K6" i="1" s="1" a="1"/>
  <c r="K6" i="1" s="1"/>
  <c r="B4" i="2" a="1"/>
  <c r="B4" i="2" s="1"/>
  <c r="I6" i="1" s="1" a="1"/>
  <c r="I6" i="1" s="1"/>
  <c r="B19" i="2" a="1"/>
  <c r="B19" i="2" s="1"/>
  <c r="L3" i="1" s="1" a="1"/>
  <c r="L3" i="1" s="1"/>
  <c r="B5" i="2" a="1"/>
  <c r="B5" i="2" s="1"/>
  <c r="I7" i="1" s="1" a="1"/>
  <c r="I7" i="1" s="1"/>
  <c r="B20" i="2" a="1"/>
  <c r="B20" i="2" s="1"/>
  <c r="L4" i="1" s="1" a="1"/>
  <c r="L4" i="1" s="1"/>
  <c r="B6" i="2" a="1"/>
  <c r="B6" i="2" s="1"/>
  <c r="I8" i="1" s="1" a="1"/>
  <c r="I8" i="1" s="1"/>
  <c r="B28" i="2" a="1"/>
  <c r="B28" i="2" s="1"/>
  <c r="M5" i="1" s="1" a="1"/>
  <c r="M5" i="1" s="1"/>
  <c r="B29" i="2" a="1"/>
  <c r="B29" i="2" s="1"/>
  <c r="M6" i="1" s="1" a="1"/>
  <c r="M6" i="1" s="1"/>
  <c r="B7" i="2" a="1"/>
  <c r="B7" i="2" s="1"/>
  <c r="I9" i="1" s="1" a="1"/>
  <c r="I9" i="1" s="1"/>
  <c r="B21" i="2" a="1"/>
  <c r="B21" i="2" s="1"/>
  <c r="L5" i="1" s="1" a="1"/>
  <c r="L5" i="1" s="1"/>
  <c r="B8" i="2" a="1"/>
  <c r="B8" i="2" s="1"/>
  <c r="J3" i="1" s="1" a="1"/>
  <c r="J3" i="1" s="1"/>
  <c r="B22" i="2" a="1"/>
  <c r="B22" i="2" s="1"/>
  <c r="L6" i="1" s="1" a="1"/>
  <c r="L6" i="1" s="1"/>
  <c r="B9" i="2" a="1"/>
  <c r="B9" i="2" s="1"/>
  <c r="J4" i="1" s="1" a="1"/>
  <c r="J4" i="1" s="1"/>
  <c r="B23" i="2" a="1"/>
  <c r="B23" i="2" s="1"/>
  <c r="L7" i="1" s="1" a="1"/>
  <c r="L7" i="1" s="1"/>
  <c r="B10" i="2" a="1"/>
  <c r="B10" i="2" s="1"/>
  <c r="J5" i="1" s="1" a="1"/>
  <c r="J5" i="1" s="1"/>
  <c r="B24" i="2" a="1"/>
  <c r="B24" i="2" s="1"/>
  <c r="L8" i="1" s="1" a="1"/>
  <c r="L8" i="1" s="1"/>
  <c r="B1" i="2" a="1"/>
  <c r="B1" i="2" s="1"/>
  <c r="I3" i="1" s="1" a="1"/>
  <c r="I3" i="1" s="1"/>
  <c r="B25" i="2" a="1"/>
  <c r="B25" i="2" s="1"/>
  <c r="L9" i="1" s="1" a="1"/>
  <c r="L9" i="1" s="1"/>
  <c r="B26" i="2" a="1"/>
  <c r="B26" i="2" s="1"/>
  <c r="M3" i="1" s="1" a="1"/>
  <c r="M3" i="1" s="1"/>
  <c r="B27" i="2" a="1"/>
  <c r="B27" i="2" s="1"/>
  <c r="M4" i="1" s="1" a="1"/>
  <c r="M4" i="1" s="1"/>
  <c r="D2" i="1" a="1"/>
  <c r="D2" i="1" l="1"/>
  <c r="E2" i="1" s="1"/>
  <c r="E4" i="1"/>
  <c r="E5" i="1"/>
  <c r="E6" i="1"/>
  <c r="E7" i="1"/>
  <c r="E8" i="1"/>
  <c r="E9" i="1"/>
  <c r="E10" i="1"/>
  <c r="E11" i="1"/>
  <c r="E12" i="1"/>
  <c r="E13" i="1"/>
  <c r="E14" i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<sst xmlns="http://schemas.openxmlformats.org/spreadsheetml/2006/main" count="164" uniqueCount="163">
  <si>
    <t>Onderwerp:</t>
  </si>
  <si>
    <t>Leraar</t>
  </si>
  <si>
    <t>Klas</t>
  </si>
  <si>
    <t>BC,GODSD,1LATA,2</t>
  </si>
  <si>
    <t>BC,GODSD,1LATB,2</t>
  </si>
  <si>
    <t>BC,GODSD,1LATE,2</t>
  </si>
  <si>
    <t>BC,GODSD,1LATC,2</t>
  </si>
  <si>
    <t>BC,GODSD,1LATD,2</t>
  </si>
  <si>
    <t>BH,LO,2GLAA/2LATA,1</t>
  </si>
  <si>
    <t>BH,LO,2LATB,2</t>
  </si>
  <si>
    <t>BH,LO,2LATC,2</t>
  </si>
  <si>
    <t>BH,LO,2LATD,2</t>
  </si>
  <si>
    <t>BH,LO,2LATE,2</t>
  </si>
  <si>
    <t>CK,LO,1LATA,2</t>
  </si>
  <si>
    <t>CK,LO,1LATB,2</t>
  </si>
  <si>
    <t>CK,LO,1LATE,2</t>
  </si>
  <si>
    <t>CK,LO,1LATC,2</t>
  </si>
  <si>
    <t>CK,LO,1LATD,2</t>
  </si>
  <si>
    <t>CK,LO,2GLAA/2LATA,1</t>
  </si>
  <si>
    <t>DSG,NED,2GLAA/2LATA,1</t>
  </si>
  <si>
    <t>DSG,NED,2LATD,4</t>
  </si>
  <si>
    <t>DSG,NED,2GLAA/2LATA,3</t>
  </si>
  <si>
    <t>DSG,NED,2LATB,4</t>
  </si>
  <si>
    <t>DSG,NED,2LATE,4</t>
  </si>
  <si>
    <t>KE,NED,1LATA,4</t>
  </si>
  <si>
    <t>KE,NED,1LATB,4</t>
  </si>
  <si>
    <t>KE,NED,1LATE,4</t>
  </si>
  <si>
    <t>KE,NED,1LATC,4</t>
  </si>
  <si>
    <t>KE,NED,1LATD,4</t>
  </si>
  <si>
    <t>LR,AARDR,2LATB,1</t>
  </si>
  <si>
    <t>LR,AARDR,2GLAA/2LATA,1</t>
  </si>
  <si>
    <t>LR,AARDR,1LATE,2</t>
  </si>
  <si>
    <t>LR,AARDR,1LATD,2</t>
  </si>
  <si>
    <t>LR,NWET,2LATC,1</t>
  </si>
  <si>
    <t>LR,NWET,2LATD,1</t>
  </si>
  <si>
    <t>LR,NWET,2LATE,1</t>
  </si>
  <si>
    <t>MD,AV,2LATA,2</t>
  </si>
  <si>
    <t>MD,AV,2LATB,2</t>
  </si>
  <si>
    <t>MD,AV,2LATC,2</t>
  </si>
  <si>
    <t>MD,AV,2LATD,2</t>
  </si>
  <si>
    <t>MD,AV,2LATE,2</t>
  </si>
  <si>
    <t>NEV,NWET,2LATB,1</t>
  </si>
  <si>
    <t>NEV,NWET,1LATA,2</t>
  </si>
  <si>
    <t>NEV,NWET,1LATB,2</t>
  </si>
  <si>
    <t>NEV,NWET,1LATC,2</t>
  </si>
  <si>
    <t>NEV,NWET,1LATD,2</t>
  </si>
  <si>
    <t>NEV,NWET,1LATE,2</t>
  </si>
  <si>
    <t>NEV,NWET,2GLAA/2LATA,1</t>
  </si>
  <si>
    <t>NEV,WIS,2LATE,5</t>
  </si>
  <si>
    <t>PM,GODSD,2LATD,2</t>
  </si>
  <si>
    <t>PM,GODSD,2GLAA/2LATA,2</t>
  </si>
  <si>
    <t>PM,GODSD,2LATB,2</t>
  </si>
  <si>
    <t>PM,GODSD,2LATC,2</t>
  </si>
  <si>
    <t>PM,GODSD,2LATE,2</t>
  </si>
  <si>
    <t>SC,LAT,2GLAA/2LATA,5</t>
  </si>
  <si>
    <t>SC,LAT,2LATB,5</t>
  </si>
  <si>
    <t>SE,WIS,2GLAA/2LATA,1</t>
  </si>
  <si>
    <t>SE,WIS,2GLAA/2LATA,4</t>
  </si>
  <si>
    <t>SE,WIS,2LATB,5</t>
  </si>
  <si>
    <t>SE,WIS,1LATC,5</t>
  </si>
  <si>
    <t>SE,WIS,1LATD,5</t>
  </si>
  <si>
    <t>SK,ENG,2LATD,2</t>
  </si>
  <si>
    <t>SK,ENG,2GLAA/2LATA,1</t>
  </si>
  <si>
    <t>SK,ENG,2LATA/2GLAA,1</t>
  </si>
  <si>
    <t>SK,ENG,2LATB,2</t>
  </si>
  <si>
    <t>SK,ENG,2LATC,2</t>
  </si>
  <si>
    <t>SK,ENG,2LATE,2</t>
  </si>
  <si>
    <t>SK,NED,2LATC,4</t>
  </si>
  <si>
    <t>SN,FRANS,2LATD,4</t>
  </si>
  <si>
    <t>SN,FRANS,2GLAA/2LATA,4</t>
  </si>
  <si>
    <t>SN,FRANS,2LATC,4</t>
  </si>
  <si>
    <t>SN,FRANS,2LATE,4</t>
  </si>
  <si>
    <t>UK,FRANS,2LATB,4</t>
  </si>
  <si>
    <t>UK,FRANS,1LATB,4</t>
  </si>
  <si>
    <t>UK,FRANS,1LATE,4</t>
  </si>
  <si>
    <t>UK,FRANS,1LATC,4</t>
  </si>
  <si>
    <t>VBI,LAT,1LATA,5</t>
  </si>
  <si>
    <t>VBI,LAT,1LATC,5</t>
  </si>
  <si>
    <t>VBI,LAT,1LATD,5</t>
  </si>
  <si>
    <t>VCS,AARDR,1LATA,2</t>
  </si>
  <si>
    <t>VCS,AARDR,1LATB,2</t>
  </si>
  <si>
    <t>VCS,AARDR,2LATC,1</t>
  </si>
  <si>
    <t>VCS,AARDR,2LATE,1</t>
  </si>
  <si>
    <t>VCS,AARDR,2LATD,1</t>
  </si>
  <si>
    <t>VCS,AARDR,1LATC,2</t>
  </si>
  <si>
    <t>VCS,AV,1LATA,2</t>
  </si>
  <si>
    <t>VCS,AV,1LATB,2</t>
  </si>
  <si>
    <t>VCS,AV,1LATC,2</t>
  </si>
  <si>
    <t>VCS,AV,1LATD,2</t>
  </si>
  <si>
    <t>VCS,AV,1LATE,2</t>
  </si>
  <si>
    <t>VDA,WIS,1LATA,5</t>
  </si>
  <si>
    <t>VDA,WIS,1LATB,5</t>
  </si>
  <si>
    <t>VDA,WIS,1LATE,5</t>
  </si>
  <si>
    <t>VDMB,GESCH,2LATD,2</t>
  </si>
  <si>
    <t>VDMB,GESCH,2GLAA/2LATA,2</t>
  </si>
  <si>
    <t>VDMB,GESCH,2LATB,2</t>
  </si>
  <si>
    <t>VDMB,GESCH,2LATC,2</t>
  </si>
  <si>
    <t>VDMB,GESCH,2LATE,2</t>
  </si>
  <si>
    <t>VHE,FRANS,1LATA,4</t>
  </si>
  <si>
    <t>VHE,FRANS,1LATD,4</t>
  </si>
  <si>
    <t>VHE,WIS,2LATD,5</t>
  </si>
  <si>
    <t>VHE,WIS,2LATC,5</t>
  </si>
  <si>
    <t>VHUE,GRI,2GLAA,2</t>
  </si>
  <si>
    <t>VHUE,LAT,2LATD,5</t>
  </si>
  <si>
    <t>VHUE,LAT,2LATC,5</t>
  </si>
  <si>
    <t>VHUE,LAT,2LATE,5</t>
  </si>
  <si>
    <t>VM,ENG,1LATA,1</t>
  </si>
  <si>
    <t>VM,ENG,1LATB,1</t>
  </si>
  <si>
    <t>VM,ENG,1LATE,1</t>
  </si>
  <si>
    <t>VM,ENG,1LATC,1</t>
  </si>
  <si>
    <t>VM,ENG,1LATD,1</t>
  </si>
  <si>
    <t>VM,GESCH,1LATA,1</t>
  </si>
  <si>
    <t>VM,GESCH,1LATB,1</t>
  </si>
  <si>
    <t>VM,GESCH,1LATE,1</t>
  </si>
  <si>
    <t>VM,GESCH,1LATC,1</t>
  </si>
  <si>
    <t>VM,GESCH,1LATD,1</t>
  </si>
  <si>
    <t>VM,LAT,1LATB,5</t>
  </si>
  <si>
    <t>VM,LAT,1LATE,5</t>
  </si>
  <si>
    <t>VMS,TEC,1LATA,2</t>
  </si>
  <si>
    <t>VMS,TEC,1LATB,2</t>
  </si>
  <si>
    <t>VMS,TEC,1LATC,2</t>
  </si>
  <si>
    <t>VMS,TEC,1LATD,2</t>
  </si>
  <si>
    <t>VMS,TEC,1LATE,2</t>
  </si>
  <si>
    <t>VMS,TEC,2GLAA/2LATA,2</t>
  </si>
  <si>
    <t>VMS,TEC,2LATB,2</t>
  </si>
  <si>
    <t>VMS,TEC,2LATC,2</t>
  </si>
  <si>
    <t>VMS,TEC,2LATD,2</t>
  </si>
  <si>
    <t>VMS,TEC,2LATE,2</t>
  </si>
  <si>
    <t>Keuze</t>
  </si>
  <si>
    <t>Selectie:</t>
  </si>
  <si>
    <t>97,101,71,45,113,19,21,54,117,85</t>
  </si>
  <si>
    <t>98,100,69,74,45,114,115,85,54,22</t>
  </si>
  <si>
    <t>96,65,64,102,113,81,23,54,87,121</t>
  </si>
  <si>
    <t>66,98,73,45,17,114,118,55,24,88</t>
  </si>
  <si>
    <t>89,97,67,69,76,113,20,120,25,56</t>
  </si>
  <si>
    <t>100,68,70,38,74,18,114,21,57,122</t>
  </si>
  <si>
    <t>97,101,72,75,82,51,22,55,89,124</t>
  </si>
  <si>
    <t>64,66,102,42,77,17,52,23,56,95</t>
  </si>
  <si>
    <t>67,73,45,113,19,86,120,57,58,24</t>
  </si>
  <si>
    <t>98,70,114,84,20,87,55,25,123,125</t>
  </si>
  <si>
    <t>65,101,39,71,75,15,50,88,56,61</t>
  </si>
  <si>
    <t>3,68,105,14,83,51,121,90,62,95</t>
  </si>
  <si>
    <t>89,35,100,6,40,72,18,21,57,63</t>
  </si>
  <si>
    <t>96,104,73,8,13,78,47,52,119,94</t>
  </si>
  <si>
    <t>0,34,102,41,75,110,17,49,22,27</t>
  </si>
  <si>
    <t>64,97,66,2,79,116,55,87,24,29</t>
  </si>
  <si>
    <t>36,69,7,74,43,10,107,20,88,91</t>
  </si>
  <si>
    <t>1,67,102,12,76,46,51,56,25,92</t>
  </si>
  <si>
    <t>70,9,106,44,19,118,58,28,93,95</t>
  </si>
  <si>
    <t>65,98,4,37,72,73,11,47,52,23</t>
  </si>
  <si>
    <t>100,68,42,77,111,119,53,87,26,62</t>
  </si>
  <si>
    <t>5,101,71,103,74,48,80,88,57,124</t>
  </si>
  <si>
    <t>0,96,34,41,11,16,23,90,30,63</t>
  </si>
  <si>
    <t>32,35,6,75,108,81,17,51,116,89</t>
  </si>
  <si>
    <t>64,1,96,68,10,43,46,52,54,24</t>
  </si>
  <si>
    <t>2,100,69,7,109,14,82,20,117,91</t>
  </si>
  <si>
    <t>67,36,40,75,48,21,56,59,28,94</t>
  </si>
  <si>
    <t>97,70,9,12,112,19,84,87,122,125</t>
  </si>
  <si>
    <t>65,3,102,39,71,49,51,22,55,29</t>
  </si>
  <si>
    <t>98,4,37,73,13,92,83,89,123,60</t>
  </si>
  <si>
    <t>8,72,45,113,18,52,86,25,93,95</t>
  </si>
  <si>
    <t>66,101,74,50,114,115,88,57,61,31</t>
  </si>
  <si>
    <t>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</si>
</sst>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ard" xfId="0" builtinId="0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C27D-8959-4DDC-BAE1-8ABEE238FBE7}">
  <dimension ref="A1:N201"/>
  <sheetViews>
    <sheetView tabSelected="1" workbookViewId="0">
      <selection activeCell="B11" sqref="B11"/>
    </sheetView>
  </sheetViews>
  <sheetFormatPr defaultRowHeight="14.4" x14ac:dyDescent="0.3"/>
  <cols>
    <col min="1" max="1" width="10.88671875" customWidth="1"/>
    <col min="2" max="2" width="9.33203125" customWidth="1"/>
    <col min="3" max="6" width="8.88671875" hidden="1" customWidth="1"/>
    <col min="9" max="13" width="16.77734375" customWidth="1"/>
  </cols>
  <sheetData>
    <row r="1" spans="1:14" x14ac:dyDescent="0.3">
      <c r="A1" t="s">
        <v>0</v>
      </c>
      <c r="B1" t="s">
        <v>2</v>
      </c>
      <c r="C1" t="s">
        <v>1</v>
      </c>
      <c r="D1" t="s">
        <v>2</v>
      </c>
      <c r="E1" t="s">
        <v>128</v>
      </c>
      <c r="F1">
        <f>33-COUNTBLANK(F3:F34)</f>
        <v>9</v>
      </c>
    </row>
    <row r="2" spans="1:14" x14ac:dyDescent="0.3">
      <c r="A2" t="s">
        <v>129</v>
      </c>
      <c r="B2" t="s">
        <v>162</v>
      </c>
      <c r="C2" t="str" cm="1">
        <f t="array" ref="C2:C25">_xlfn.UNIQUE(Lessen!C:C)</f>
        <v>BC</v>
      </c>
      <c r="D2" t="str" cm="1">
        <f t="array" ref="D2:D14">_xlfn.UNIQUE(Lessen!G:G)</f>
        <v>1LATA</v>
      </c>
      <c r="E2" t="str">
        <f>IF(B$1="Klas",D2,C2)</f>
        <v>1LATA</v>
      </c>
      <c r="F2" t="str" cm="1">
        <f t="array" ref="F2:F10">_xlfn.UNIQUE(Lessen!B1:B625)</f>
        <v>/nope/</v>
      </c>
      <c r="H2" s="2"/>
      <c r="I2" s="2"/>
      <c r="J2" s="2"/>
      <c r="K2" s="2"/>
      <c r="L2" s="2"/>
      <c r="M2" s="2"/>
      <c r="N2" s="2"/>
    </row>
    <row r="3" spans="1:14" x14ac:dyDescent="0.3">
      <c r="C3" t="str">
        <v>BH</v>
      </c>
      <c r="D3" t="str">
        <v>1LATB</v>
      </c>
      <c r="E3" t="str">
        <f t="shared" ref="E3:E66" si="0">IF(B$1="Klas",D3,C3)</f>
        <v>1LATB</v>
      </c>
      <c r="F3">
        <v>38</v>
      </c>
      <c r="H3" s="2"/>
      <c r="I3" t="str" cm="1">
        <f t="array" ref="I3">IF(Rooster!B1&lt;&gt;-1,INDEX(Lessen!D$1:D$625,Rooster!B1+1,1),"")</f>
        <v>WIS</v>
      </c>
      <c r="J3" t="str" cm="1">
        <f t="array" ref="J3">IF(Rooster!B8&lt;&gt;-1,INDEX(Lessen!D$1:D$625,Rooster!B8+1,1),"")</f>
        <v>NWET</v>
      </c>
      <c r="K3" t="str" cm="1">
        <f t="array" ref="K3">IF(Rooster!B15&lt;&gt;-1,INDEX(Lessen!D$1:D$625,Rooster!B15+1,1),"")</f>
        <v>NWET</v>
      </c>
      <c r="L3" t="str" cm="1">
        <f t="array" ref="L3">IF(Rooster!B19&lt;&gt;-1,INDEX(Lessen!D$1:D$625,Rooster!B19+1,1),"")</f>
        <v>NWET</v>
      </c>
      <c r="M3" t="str" cm="1">
        <f t="array" ref="M3">IF(Rooster!B26&lt;&gt;-1,INDEX(Lessen!D$1:D$625,Rooster!B26+1,1),"")</f>
        <v/>
      </c>
      <c r="N3" s="2"/>
    </row>
    <row r="4" spans="1:14" x14ac:dyDescent="0.3">
      <c r="C4" t="str">
        <v>CK</v>
      </c>
      <c r="D4" t="str">
        <v>1LATE</v>
      </c>
      <c r="E4" t="str">
        <f t="shared" si="0"/>
        <v>1LATE</v>
      </c>
      <c r="F4">
        <v>39</v>
      </c>
      <c r="H4" s="2"/>
      <c r="I4" t="str" cm="1">
        <f t="array" ref="I4">IF(Rooster!B2&lt;&gt;-1,INDEX(Lessen!D$1:D$625,Rooster!B2+1,1),"")</f>
        <v>WIS</v>
      </c>
      <c r="J4" t="str" cm="1">
        <f t="array" ref="J4">IF(Rooster!B9&lt;&gt;-1,INDEX(Lessen!D$1:D$625,Rooster!B9+1,1),"")</f>
        <v>WIS</v>
      </c>
      <c r="K4" t="str" cm="1">
        <f t="array" ref="K4">IF(Rooster!B16&lt;&gt;-1,INDEX(Lessen!D$1:D$625,Rooster!B16+1,1),"")</f>
        <v/>
      </c>
      <c r="L4" t="str" cm="1">
        <f t="array" ref="L4">IF(Rooster!B20&lt;&gt;-1,INDEX(Lessen!D$1:D$625,Rooster!B20+1,1),"")</f>
        <v/>
      </c>
      <c r="M4" t="str" cm="1">
        <f t="array" ref="M4">IF(Rooster!B27&lt;&gt;-1,INDEX(Lessen!D$1:D$625,Rooster!B27+1,1),"")</f>
        <v>NWET</v>
      </c>
      <c r="N4" s="2"/>
    </row>
    <row r="5" spans="1:14" x14ac:dyDescent="0.3">
      <c r="C5" t="str">
        <v>DSG</v>
      </c>
      <c r="D5" t="str">
        <v>1LATC</v>
      </c>
      <c r="E5" t="str">
        <f t="shared" si="0"/>
        <v>1LATC</v>
      </c>
      <c r="F5">
        <v>40</v>
      </c>
      <c r="H5" s="2"/>
      <c r="I5" t="str" cm="1">
        <f t="array" ref="I5">IF(Rooster!B3&lt;&gt;-1,INDEX(Lessen!D$1:D$625,Rooster!B3+1,1),"")</f>
        <v/>
      </c>
      <c r="J5" t="str" cm="1">
        <f t="array" ref="J5">IF(Rooster!B10&lt;&gt;-1,INDEX(Lessen!D$1:D$625,Rooster!B10+1,1),"")</f>
        <v/>
      </c>
      <c r="K5" t="str" cm="1">
        <f t="array" ref="K5">IF(Rooster!B17&lt;&gt;-1,INDEX(Lessen!D$1:D$625,Rooster!B17+1,1),"")</f>
        <v>NWET</v>
      </c>
      <c r="L5" t="str" cm="1">
        <f t="array" ref="L5">IF(Rooster!B21&lt;&gt;-1,INDEX(Lessen!D$1:D$625,Rooster!B21+1,1),"")</f>
        <v>NWET</v>
      </c>
      <c r="M5" t="str" cm="1">
        <f t="array" ref="M5">IF(Rooster!B28&lt;&gt;-1,INDEX(Lessen!D$1:D$625,Rooster!B28+1,1),"")</f>
        <v/>
      </c>
      <c r="N5" s="2"/>
    </row>
    <row r="6" spans="1:14" x14ac:dyDescent="0.3">
      <c r="C6" t="str">
        <v>KE</v>
      </c>
      <c r="D6" t="str">
        <v>1LATD</v>
      </c>
      <c r="E6" t="str">
        <f t="shared" si="0"/>
        <v>1LATD</v>
      </c>
      <c r="F6">
        <v>41</v>
      </c>
      <c r="H6" s="2"/>
      <c r="I6" t="str" cm="1">
        <f t="array" ref="I6">IF(Rooster!B4&lt;&gt;-1,INDEX(Lessen!D$1:D$625,Rooster!B4+1,1),"")</f>
        <v>WIS</v>
      </c>
      <c r="J6" t="str" cm="1">
        <f t="array" ref="J6">IF(Rooster!B11&lt;&gt;-1,INDEX(Lessen!D$1:D$625,Rooster!B11+1,1),"")</f>
        <v>NWET</v>
      </c>
      <c r="K6" t="str" cm="1">
        <f t="array" ref="K6">IF(Rooster!B18&lt;&gt;-1,INDEX(Lessen!D$1:D$625,Rooster!B18+1,1),"")</f>
        <v/>
      </c>
      <c r="L6" t="str" cm="1">
        <f t="array" ref="L6">IF(Rooster!B22&lt;&gt;-1,INDEX(Lessen!D$1:D$625,Rooster!B22+1,1),"")</f>
        <v/>
      </c>
      <c r="M6" t="str" cm="1">
        <f t="array" ref="M6">IF(Rooster!B29&lt;&gt;-1,INDEX(Lessen!D$1:D$625,Rooster!B29+1,1),"")</f>
        <v>NWET</v>
      </c>
      <c r="N6" s="2"/>
    </row>
    <row r="7" spans="1:14" x14ac:dyDescent="0.3">
      <c r="C7" t="str">
        <v>LR</v>
      </c>
      <c r="D7" t="str">
        <v/>
      </c>
      <c r="E7" t="str">
        <f t="shared" si="0"/>
        <v/>
      </c>
      <c r="F7">
        <v>42</v>
      </c>
      <c r="H7" s="2"/>
      <c r="I7" t="str" cm="1">
        <f t="array" ref="I7">IF(Rooster!B5&lt;&gt;-1,INDEX(Lessen!D$1:D$625,Rooster!B5+1,1),"")</f>
        <v/>
      </c>
      <c r="J7" t="str" cm="1">
        <f t="array" ref="J7">IF(Rooster!B12&lt;&gt;-1,INDEX(Lessen!D$1:D$625,Rooster!B12+1,1),"")</f>
        <v/>
      </c>
      <c r="K7" s="2"/>
      <c r="L7" t="str" cm="1">
        <f t="array" ref="L7">IF(Rooster!B23&lt;&gt;-1,INDEX(Lessen!D$1:D$625,Rooster!B23+1,1),"")</f>
        <v>NWET</v>
      </c>
      <c r="M7" t="str" cm="1">
        <f t="array" ref="M7">IF(Rooster!B30&lt;&gt;-1,INDEX(Lessen!D$1:D$625,Rooster!B30+1,1),"")</f>
        <v/>
      </c>
      <c r="N7" s="2"/>
    </row>
    <row r="8" spans="1:14" x14ac:dyDescent="0.3">
      <c r="C8" t="str">
        <v>MD</v>
      </c>
      <c r="D8" t="str">
        <v>2LATB</v>
      </c>
      <c r="E8" t="str">
        <f t="shared" si="0"/>
        <v>2LATB</v>
      </c>
      <c r="F8">
        <v>43</v>
      </c>
      <c r="H8" s="2"/>
      <c r="I8" t="str" cm="1">
        <f t="array" ref="I8">IF(Rooster!B6&lt;&gt;-1,INDEX(Lessen!D$1:D$625,Rooster!B6+1,1),"")</f>
        <v>NWET</v>
      </c>
      <c r="J8" t="str" cm="1">
        <f t="array" ref="J8">IF(Rooster!B13&lt;&gt;-1,INDEX(Lessen!D$1:D$625,Rooster!B13+1,1),"")</f>
        <v>NWET</v>
      </c>
      <c r="K8" s="2"/>
      <c r="L8" t="str" cm="1">
        <f t="array" ref="L8">IF(Rooster!B24&lt;&gt;-1,INDEX(Lessen!D$1:D$625,Rooster!B24+1,1),"")</f>
        <v/>
      </c>
      <c r="M8" t="str" cm="1">
        <f t="array" ref="M8">IF(Rooster!B31&lt;&gt;-1,INDEX(Lessen!D$1:D$625,Rooster!B31+1,1),"")</f>
        <v>WIS</v>
      </c>
      <c r="N8" s="2"/>
    </row>
    <row r="9" spans="1:14" x14ac:dyDescent="0.3">
      <c r="C9" t="str">
        <v>NEV</v>
      </c>
      <c r="D9" t="str">
        <v>2LATC</v>
      </c>
      <c r="E9" t="str">
        <f t="shared" si="0"/>
        <v>2LATC</v>
      </c>
      <c r="F9">
        <v>44</v>
      </c>
      <c r="H9" s="2"/>
      <c r="I9" t="str" cm="1">
        <f t="array" ref="I9">IF(Rooster!B7&lt;&gt;-1,INDEX(Lessen!D$1:D$625,Rooster!B7+1,1),"")</f>
        <v/>
      </c>
      <c r="J9" t="str" cm="1">
        <f t="array" ref="J9">IF(Rooster!B14&lt;&gt;-1,INDEX(Lessen!D$1:D$625,Rooster!B14+1,1),"")</f>
        <v/>
      </c>
      <c r="K9" s="2"/>
      <c r="L9" t="str" cm="1">
        <f t="array" ref="L9">IF(Rooster!B25&lt;&gt;-1,INDEX(Lessen!D$1:D$625,Rooster!B25+1,1),"")</f>
        <v>NWET</v>
      </c>
      <c r="M9" t="str" cm="1">
        <f t="array" ref="M9">IF(Rooster!B32&lt;&gt;-1,INDEX(Lessen!D$1:D$625,Rooster!B32+1,1),"")</f>
        <v/>
      </c>
      <c r="N9" s="2"/>
    </row>
    <row r="10" spans="1:14" x14ac:dyDescent="0.3">
      <c r="C10" t="str">
        <v>PM</v>
      </c>
      <c r="D10" t="str">
        <v>2LATD</v>
      </c>
      <c r="E10" t="str">
        <f t="shared" si="0"/>
        <v>2LATD</v>
      </c>
      <c r="F10">
        <v>45</v>
      </c>
      <c r="H10" s="2"/>
      <c r="I10" s="2"/>
      <c r="J10" s="2"/>
      <c r="K10" s="2"/>
      <c r="L10" s="2"/>
      <c r="M10" s="2"/>
      <c r="N10" s="2"/>
    </row>
    <row r="11" spans="1:14" x14ac:dyDescent="0.3">
      <c r="C11" t="str">
        <v>SC</v>
      </c>
      <c r="D11" t="str">
        <v>2LATE</v>
      </c>
      <c r="E11" t="str">
        <f t="shared" si="0"/>
        <v>2LATE</v>
      </c>
    </row>
    <row r="12" spans="1:14" x14ac:dyDescent="0.3">
      <c r="C12" t="str">
        <v>SE</v>
      </c>
      <c r="D12" t="str">
        <v>2LATA</v>
      </c>
      <c r="E12" t="str">
        <f t="shared" si="0"/>
        <v>2LATA</v>
      </c>
    </row>
    <row r="13" spans="1:14" x14ac:dyDescent="0.3">
      <c r="C13" t="str">
        <v>SK</v>
      </c>
      <c r="D13" t="str">
        <v>2GLAA</v>
      </c>
      <c r="E13" t="str">
        <f t="shared" si="0"/>
        <v>2GLAA</v>
      </c>
    </row>
    <row r="14" spans="1:14" x14ac:dyDescent="0.3">
      <c r="C14" t="str">
        <v>SN</v>
      </c>
      <c r="D14">
        <v>0</v>
      </c>
      <c r="E14">
        <f t="shared" si="0"/>
        <v>0</v>
      </c>
    </row>
    <row r="15" spans="1:14" x14ac:dyDescent="0.3">
      <c r="C15" t="str">
        <v>UK</v>
      </c>
      <c r="E15">
        <f t="shared" si="0"/>
        <v>0</v>
      </c>
    </row>
    <row r="16" spans="1:14" x14ac:dyDescent="0.3">
      <c r="C16" t="str">
        <v>VBI</v>
      </c>
      <c r="E16">
        <f t="shared" si="0"/>
        <v>0</v>
      </c>
    </row>
    <row r="17" spans="3:5" x14ac:dyDescent="0.3">
      <c r="C17" t="str">
        <v>VCS</v>
      </c>
      <c r="E17">
        <f t="shared" si="0"/>
        <v>0</v>
      </c>
    </row>
    <row r="18" spans="3:5" x14ac:dyDescent="0.3">
      <c r="C18" t="str">
        <v>VDA</v>
      </c>
      <c r="E18">
        <f t="shared" si="0"/>
        <v>0</v>
      </c>
    </row>
    <row r="19" spans="3:5" x14ac:dyDescent="0.3">
      <c r="C19" t="str">
        <v>VDMB</v>
      </c>
      <c r="E19">
        <f t="shared" si="0"/>
        <v>0</v>
      </c>
    </row>
    <row r="20" spans="3:5" x14ac:dyDescent="0.3">
      <c r="C20" t="str">
        <v>VHE</v>
      </c>
      <c r="E20">
        <f t="shared" si="0"/>
        <v>0</v>
      </c>
    </row>
    <row r="21" spans="3:5" x14ac:dyDescent="0.3">
      <c r="C21" t="str">
        <v>VHUE</v>
      </c>
      <c r="E21">
        <f t="shared" si="0"/>
        <v>0</v>
      </c>
    </row>
    <row r="22" spans="3:5" x14ac:dyDescent="0.3">
      <c r="C22" t="str">
        <v>VM</v>
      </c>
      <c r="E22">
        <f t="shared" si="0"/>
        <v>0</v>
      </c>
    </row>
    <row r="23" spans="3:5" x14ac:dyDescent="0.3">
      <c r="C23" t="str">
        <v>VMS</v>
      </c>
      <c r="E23">
        <f t="shared" si="0"/>
        <v>0</v>
      </c>
    </row>
    <row r="24" spans="3:5" x14ac:dyDescent="0.3">
      <c r="C24" t="str">
        <v/>
      </c>
      <c r="E24">
        <f t="shared" si="0"/>
        <v>0</v>
      </c>
    </row>
    <row r="25" spans="3:5" x14ac:dyDescent="0.3">
      <c r="C25">
        <v>0</v>
      </c>
      <c r="E25">
        <f t="shared" si="0"/>
        <v>0</v>
      </c>
    </row>
    <row r="26" spans="3:5" x14ac:dyDescent="0.3">
      <c r="E26">
        <f t="shared" si="0"/>
        <v>0</v>
      </c>
    </row>
    <row r="27" spans="3:5" x14ac:dyDescent="0.3">
      <c r="E27">
        <f t="shared" si="0"/>
        <v>0</v>
      </c>
    </row>
    <row r="28" spans="3:5" x14ac:dyDescent="0.3">
      <c r="E28">
        <f t="shared" si="0"/>
        <v>0</v>
      </c>
    </row>
    <row r="29" spans="3:5" x14ac:dyDescent="0.3">
      <c r="E29">
        <f t="shared" si="0"/>
        <v>0</v>
      </c>
    </row>
    <row r="30" spans="3:5" x14ac:dyDescent="0.3">
      <c r="E30">
        <f t="shared" si="0"/>
        <v>0</v>
      </c>
    </row>
    <row r="31" spans="3:5" x14ac:dyDescent="0.3">
      <c r="E31">
        <f t="shared" si="0"/>
        <v>0</v>
      </c>
    </row>
    <row r="32" spans="3:5" x14ac:dyDescent="0.3">
      <c r="E32">
        <f t="shared" si="0"/>
        <v>0</v>
      </c>
    </row>
    <row r="33" spans="5:5" x14ac:dyDescent="0.3">
      <c r="E33">
        <f t="shared" si="0"/>
        <v>0</v>
      </c>
    </row>
    <row r="34" spans="5:5" x14ac:dyDescent="0.3">
      <c r="E34">
        <f t="shared" si="0"/>
        <v>0</v>
      </c>
    </row>
    <row r="35" spans="5:5" x14ac:dyDescent="0.3">
      <c r="E35">
        <f t="shared" si="0"/>
        <v>0</v>
      </c>
    </row>
    <row r="36" spans="5:5" x14ac:dyDescent="0.3">
      <c r="E36">
        <f t="shared" si="0"/>
        <v>0</v>
      </c>
    </row>
    <row r="37" spans="5:5" x14ac:dyDescent="0.3">
      <c r="E37">
        <f t="shared" si="0"/>
        <v>0</v>
      </c>
    </row>
    <row r="38" spans="5:5" x14ac:dyDescent="0.3">
      <c r="E38">
        <f t="shared" si="0"/>
        <v>0</v>
      </c>
    </row>
    <row r="39" spans="5:5" x14ac:dyDescent="0.3">
      <c r="E39">
        <f t="shared" si="0"/>
        <v>0</v>
      </c>
    </row>
    <row r="40" spans="5:5" x14ac:dyDescent="0.3">
      <c r="E40">
        <f t="shared" si="0"/>
        <v>0</v>
      </c>
    </row>
    <row r="41" spans="5:5" x14ac:dyDescent="0.3">
      <c r="E41">
        <f t="shared" si="0"/>
        <v>0</v>
      </c>
    </row>
    <row r="42" spans="5:5" x14ac:dyDescent="0.3">
      <c r="E42">
        <f t="shared" si="0"/>
        <v>0</v>
      </c>
    </row>
    <row r="43" spans="5:5" x14ac:dyDescent="0.3">
      <c r="E43">
        <f t="shared" si="0"/>
        <v>0</v>
      </c>
    </row>
    <row r="44" spans="5:5" x14ac:dyDescent="0.3">
      <c r="E44">
        <f t="shared" si="0"/>
        <v>0</v>
      </c>
    </row>
    <row r="45" spans="5:5" x14ac:dyDescent="0.3">
      <c r="E45">
        <f t="shared" si="0"/>
        <v>0</v>
      </c>
    </row>
    <row r="46" spans="5:5" x14ac:dyDescent="0.3">
      <c r="E46">
        <f t="shared" si="0"/>
        <v>0</v>
      </c>
    </row>
    <row r="47" spans="5:5" x14ac:dyDescent="0.3">
      <c r="E47">
        <f t="shared" si="0"/>
        <v>0</v>
      </c>
    </row>
    <row r="48" spans="5:5" x14ac:dyDescent="0.3">
      <c r="E48">
        <f t="shared" si="0"/>
        <v>0</v>
      </c>
    </row>
    <row r="49" spans="5:5" x14ac:dyDescent="0.3">
      <c r="E49">
        <f t="shared" si="0"/>
        <v>0</v>
      </c>
    </row>
    <row r="50" spans="5:5" x14ac:dyDescent="0.3">
      <c r="E50">
        <f t="shared" si="0"/>
        <v>0</v>
      </c>
    </row>
    <row r="51" spans="5:5" x14ac:dyDescent="0.3">
      <c r="E51">
        <f t="shared" si="0"/>
        <v>0</v>
      </c>
    </row>
    <row r="52" spans="5:5" x14ac:dyDescent="0.3">
      <c r="E52">
        <f t="shared" si="0"/>
        <v>0</v>
      </c>
    </row>
    <row r="53" spans="5:5" x14ac:dyDescent="0.3">
      <c r="E53">
        <f t="shared" si="0"/>
        <v>0</v>
      </c>
    </row>
    <row r="54" spans="5:5" x14ac:dyDescent="0.3">
      <c r="E54">
        <f t="shared" si="0"/>
        <v>0</v>
      </c>
    </row>
    <row r="55" spans="5:5" x14ac:dyDescent="0.3">
      <c r="E55">
        <f t="shared" si="0"/>
        <v>0</v>
      </c>
    </row>
    <row r="56" spans="5:5" x14ac:dyDescent="0.3">
      <c r="E56">
        <f t="shared" si="0"/>
        <v>0</v>
      </c>
    </row>
    <row r="57" spans="5:5" x14ac:dyDescent="0.3">
      <c r="E57">
        <f t="shared" si="0"/>
        <v>0</v>
      </c>
    </row>
    <row r="58" spans="5:5" x14ac:dyDescent="0.3">
      <c r="E58">
        <f t="shared" si="0"/>
        <v>0</v>
      </c>
    </row>
    <row r="59" spans="5:5" x14ac:dyDescent="0.3">
      <c r="E59">
        <f t="shared" si="0"/>
        <v>0</v>
      </c>
    </row>
    <row r="60" spans="5:5" x14ac:dyDescent="0.3">
      <c r="E60">
        <f t="shared" si="0"/>
        <v>0</v>
      </c>
    </row>
    <row r="61" spans="5:5" x14ac:dyDescent="0.3">
      <c r="E61">
        <f t="shared" si="0"/>
        <v>0</v>
      </c>
    </row>
    <row r="62" spans="5:5" x14ac:dyDescent="0.3">
      <c r="E62">
        <f t="shared" si="0"/>
        <v>0</v>
      </c>
    </row>
    <row r="63" spans="5:5" x14ac:dyDescent="0.3">
      <c r="E63">
        <f t="shared" si="0"/>
        <v>0</v>
      </c>
    </row>
    <row r="64" spans="5:5" x14ac:dyDescent="0.3">
      <c r="E64">
        <f t="shared" si="0"/>
        <v>0</v>
      </c>
    </row>
    <row r="65" spans="5:5" x14ac:dyDescent="0.3">
      <c r="E65">
        <f t="shared" si="0"/>
        <v>0</v>
      </c>
    </row>
    <row r="66" spans="5:5" x14ac:dyDescent="0.3">
      <c r="E66">
        <f t="shared" si="0"/>
        <v>0</v>
      </c>
    </row>
    <row r="67" spans="5:5" x14ac:dyDescent="0.3">
      <c r="E67">
        <f t="shared" ref="E67:E130" si="1">IF(B$1="Klas",D67,C67)</f>
        <v>0</v>
      </c>
    </row>
    <row r="68" spans="5:5" x14ac:dyDescent="0.3">
      <c r="E68">
        <f t="shared" si="1"/>
        <v>0</v>
      </c>
    </row>
    <row r="69" spans="5:5" x14ac:dyDescent="0.3">
      <c r="E69">
        <f t="shared" si="1"/>
        <v>0</v>
      </c>
    </row>
    <row r="70" spans="5:5" x14ac:dyDescent="0.3">
      <c r="E70">
        <f t="shared" si="1"/>
        <v>0</v>
      </c>
    </row>
    <row r="71" spans="5:5" x14ac:dyDescent="0.3">
      <c r="E71">
        <f t="shared" si="1"/>
        <v>0</v>
      </c>
    </row>
    <row r="72" spans="5:5" x14ac:dyDescent="0.3">
      <c r="E72">
        <f t="shared" si="1"/>
        <v>0</v>
      </c>
    </row>
    <row r="73" spans="5:5" x14ac:dyDescent="0.3">
      <c r="E73">
        <f t="shared" si="1"/>
        <v>0</v>
      </c>
    </row>
    <row r="74" spans="5:5" x14ac:dyDescent="0.3">
      <c r="E74">
        <f t="shared" si="1"/>
        <v>0</v>
      </c>
    </row>
    <row r="75" spans="5:5" x14ac:dyDescent="0.3">
      <c r="E75">
        <f t="shared" si="1"/>
        <v>0</v>
      </c>
    </row>
    <row r="76" spans="5:5" x14ac:dyDescent="0.3">
      <c r="E76">
        <f t="shared" si="1"/>
        <v>0</v>
      </c>
    </row>
    <row r="77" spans="5:5" x14ac:dyDescent="0.3">
      <c r="E77">
        <f t="shared" si="1"/>
        <v>0</v>
      </c>
    </row>
    <row r="78" spans="5:5" x14ac:dyDescent="0.3">
      <c r="E78">
        <f t="shared" si="1"/>
        <v>0</v>
      </c>
    </row>
    <row r="79" spans="5:5" x14ac:dyDescent="0.3">
      <c r="E79">
        <f t="shared" si="1"/>
        <v>0</v>
      </c>
    </row>
    <row r="80" spans="5:5" x14ac:dyDescent="0.3">
      <c r="E80">
        <f t="shared" si="1"/>
        <v>0</v>
      </c>
    </row>
    <row r="81" spans="5:5" x14ac:dyDescent="0.3">
      <c r="E81">
        <f t="shared" si="1"/>
        <v>0</v>
      </c>
    </row>
    <row r="82" spans="5:5" x14ac:dyDescent="0.3">
      <c r="E82">
        <f t="shared" si="1"/>
        <v>0</v>
      </c>
    </row>
    <row r="83" spans="5:5" x14ac:dyDescent="0.3">
      <c r="E83">
        <f t="shared" si="1"/>
        <v>0</v>
      </c>
    </row>
    <row r="84" spans="5:5" x14ac:dyDescent="0.3">
      <c r="E84">
        <f t="shared" si="1"/>
        <v>0</v>
      </c>
    </row>
    <row r="85" spans="5:5" x14ac:dyDescent="0.3">
      <c r="E85">
        <f t="shared" si="1"/>
        <v>0</v>
      </c>
    </row>
    <row r="86" spans="5:5" x14ac:dyDescent="0.3">
      <c r="E86">
        <f t="shared" si="1"/>
        <v>0</v>
      </c>
    </row>
    <row r="87" spans="5:5" x14ac:dyDescent="0.3">
      <c r="E87">
        <f t="shared" si="1"/>
        <v>0</v>
      </c>
    </row>
    <row r="88" spans="5:5" x14ac:dyDescent="0.3">
      <c r="E88">
        <f t="shared" si="1"/>
        <v>0</v>
      </c>
    </row>
    <row r="89" spans="5:5" x14ac:dyDescent="0.3">
      <c r="E89">
        <f t="shared" si="1"/>
        <v>0</v>
      </c>
    </row>
    <row r="90" spans="5:5" x14ac:dyDescent="0.3">
      <c r="E90">
        <f t="shared" si="1"/>
        <v>0</v>
      </c>
    </row>
    <row r="91" spans="5:5" x14ac:dyDescent="0.3">
      <c r="E91">
        <f t="shared" si="1"/>
        <v>0</v>
      </c>
    </row>
    <row r="92" spans="5:5" x14ac:dyDescent="0.3">
      <c r="E92">
        <f t="shared" si="1"/>
        <v>0</v>
      </c>
    </row>
    <row r="93" spans="5:5" x14ac:dyDescent="0.3">
      <c r="E93">
        <f t="shared" si="1"/>
        <v>0</v>
      </c>
    </row>
    <row r="94" spans="5:5" x14ac:dyDescent="0.3">
      <c r="E94">
        <f t="shared" si="1"/>
        <v>0</v>
      </c>
    </row>
    <row r="95" spans="5:5" x14ac:dyDescent="0.3">
      <c r="E95">
        <f t="shared" si="1"/>
        <v>0</v>
      </c>
    </row>
    <row r="96" spans="5:5" x14ac:dyDescent="0.3">
      <c r="E96">
        <f t="shared" si="1"/>
        <v>0</v>
      </c>
    </row>
    <row r="97" spans="5:5" x14ac:dyDescent="0.3">
      <c r="E97">
        <f t="shared" si="1"/>
        <v>0</v>
      </c>
    </row>
    <row r="98" spans="5:5" x14ac:dyDescent="0.3">
      <c r="E98">
        <f t="shared" si="1"/>
        <v>0</v>
      </c>
    </row>
    <row r="99" spans="5:5" x14ac:dyDescent="0.3">
      <c r="E99">
        <f t="shared" si="1"/>
        <v>0</v>
      </c>
    </row>
    <row r="100" spans="5:5" x14ac:dyDescent="0.3">
      <c r="E100">
        <f t="shared" si="1"/>
        <v>0</v>
      </c>
    </row>
    <row r="101" spans="5:5" x14ac:dyDescent="0.3">
      <c r="E101">
        <f t="shared" si="1"/>
        <v>0</v>
      </c>
    </row>
    <row r="102" spans="5:5" x14ac:dyDescent="0.3">
      <c r="E102">
        <f t="shared" si="1"/>
        <v>0</v>
      </c>
    </row>
    <row r="103" spans="5:5" x14ac:dyDescent="0.3">
      <c r="E103">
        <f t="shared" si="1"/>
        <v>0</v>
      </c>
    </row>
    <row r="104" spans="5:5" x14ac:dyDescent="0.3">
      <c r="E104">
        <f t="shared" si="1"/>
        <v>0</v>
      </c>
    </row>
    <row r="105" spans="5:5" x14ac:dyDescent="0.3">
      <c r="E105">
        <f t="shared" si="1"/>
        <v>0</v>
      </c>
    </row>
    <row r="106" spans="5:5" x14ac:dyDescent="0.3">
      <c r="E106">
        <f t="shared" si="1"/>
        <v>0</v>
      </c>
    </row>
    <row r="107" spans="5:5" x14ac:dyDescent="0.3">
      <c r="E107">
        <f t="shared" si="1"/>
        <v>0</v>
      </c>
    </row>
    <row r="108" spans="5:5" x14ac:dyDescent="0.3">
      <c r="E108">
        <f t="shared" si="1"/>
        <v>0</v>
      </c>
    </row>
    <row r="109" spans="5:5" x14ac:dyDescent="0.3">
      <c r="E109">
        <f t="shared" si="1"/>
        <v>0</v>
      </c>
    </row>
    <row r="110" spans="5:5" x14ac:dyDescent="0.3">
      <c r="E110">
        <f t="shared" si="1"/>
        <v>0</v>
      </c>
    </row>
    <row r="111" spans="5:5" x14ac:dyDescent="0.3">
      <c r="E111">
        <f t="shared" si="1"/>
        <v>0</v>
      </c>
    </row>
    <row r="112" spans="5:5" x14ac:dyDescent="0.3">
      <c r="E112">
        <f t="shared" si="1"/>
        <v>0</v>
      </c>
    </row>
    <row r="113" spans="5:5" x14ac:dyDescent="0.3">
      <c r="E113">
        <f t="shared" si="1"/>
        <v>0</v>
      </c>
    </row>
    <row r="114" spans="5:5" x14ac:dyDescent="0.3">
      <c r="E114">
        <f t="shared" si="1"/>
        <v>0</v>
      </c>
    </row>
    <row r="115" spans="5:5" x14ac:dyDescent="0.3">
      <c r="E115">
        <f t="shared" si="1"/>
        <v>0</v>
      </c>
    </row>
    <row r="116" spans="5:5" x14ac:dyDescent="0.3">
      <c r="E116">
        <f t="shared" si="1"/>
        <v>0</v>
      </c>
    </row>
    <row r="117" spans="5:5" x14ac:dyDescent="0.3">
      <c r="E117">
        <f t="shared" si="1"/>
        <v>0</v>
      </c>
    </row>
    <row r="118" spans="5:5" x14ac:dyDescent="0.3">
      <c r="E118">
        <f t="shared" si="1"/>
        <v>0</v>
      </c>
    </row>
    <row r="119" spans="5:5" x14ac:dyDescent="0.3">
      <c r="E119">
        <f t="shared" si="1"/>
        <v>0</v>
      </c>
    </row>
    <row r="120" spans="5:5" x14ac:dyDescent="0.3">
      <c r="E120">
        <f t="shared" si="1"/>
        <v>0</v>
      </c>
    </row>
    <row r="121" spans="5:5" x14ac:dyDescent="0.3">
      <c r="E121">
        <f t="shared" si="1"/>
        <v>0</v>
      </c>
    </row>
    <row r="122" spans="5:5" x14ac:dyDescent="0.3">
      <c r="E122">
        <f t="shared" si="1"/>
        <v>0</v>
      </c>
    </row>
    <row r="123" spans="5:5" x14ac:dyDescent="0.3">
      <c r="E123">
        <f t="shared" si="1"/>
        <v>0</v>
      </c>
    </row>
    <row r="124" spans="5:5" x14ac:dyDescent="0.3">
      <c r="E124">
        <f t="shared" si="1"/>
        <v>0</v>
      </c>
    </row>
    <row r="125" spans="5:5" x14ac:dyDescent="0.3">
      <c r="E125">
        <f t="shared" si="1"/>
        <v>0</v>
      </c>
    </row>
    <row r="126" spans="5:5" x14ac:dyDescent="0.3">
      <c r="E126">
        <f t="shared" si="1"/>
        <v>0</v>
      </c>
    </row>
    <row r="127" spans="5:5" x14ac:dyDescent="0.3">
      <c r="E127">
        <f t="shared" si="1"/>
        <v>0</v>
      </c>
    </row>
    <row r="128" spans="5:5" x14ac:dyDescent="0.3">
      <c r="E128">
        <f t="shared" si="1"/>
        <v>0</v>
      </c>
    </row>
    <row r="129" spans="5:5" x14ac:dyDescent="0.3">
      <c r="E129">
        <f t="shared" si="1"/>
        <v>0</v>
      </c>
    </row>
    <row r="130" spans="5:5" x14ac:dyDescent="0.3">
      <c r="E130">
        <f t="shared" si="1"/>
        <v>0</v>
      </c>
    </row>
    <row r="131" spans="5:5" x14ac:dyDescent="0.3">
      <c r="E131">
        <f t="shared" ref="E131:E194" si="2">IF(B$1="Klas",D131,C131)</f>
        <v>0</v>
      </c>
    </row>
    <row r="132" spans="5:5" x14ac:dyDescent="0.3">
      <c r="E132">
        <f t="shared" si="2"/>
        <v>0</v>
      </c>
    </row>
    <row r="133" spans="5:5" x14ac:dyDescent="0.3">
      <c r="E133">
        <f t="shared" si="2"/>
        <v>0</v>
      </c>
    </row>
    <row r="134" spans="5:5" x14ac:dyDescent="0.3">
      <c r="E134">
        <f t="shared" si="2"/>
        <v>0</v>
      </c>
    </row>
    <row r="135" spans="5:5" x14ac:dyDescent="0.3">
      <c r="E135">
        <f t="shared" si="2"/>
        <v>0</v>
      </c>
    </row>
    <row r="136" spans="5:5" x14ac:dyDescent="0.3">
      <c r="E136">
        <f t="shared" si="2"/>
        <v>0</v>
      </c>
    </row>
    <row r="137" spans="5:5" x14ac:dyDescent="0.3">
      <c r="E137">
        <f t="shared" si="2"/>
        <v>0</v>
      </c>
    </row>
    <row r="138" spans="5:5" x14ac:dyDescent="0.3">
      <c r="E138">
        <f t="shared" si="2"/>
        <v>0</v>
      </c>
    </row>
    <row r="139" spans="5:5" x14ac:dyDescent="0.3">
      <c r="E139">
        <f t="shared" si="2"/>
        <v>0</v>
      </c>
    </row>
    <row r="140" spans="5:5" x14ac:dyDescent="0.3">
      <c r="E140">
        <f t="shared" si="2"/>
        <v>0</v>
      </c>
    </row>
    <row r="141" spans="5:5" x14ac:dyDescent="0.3">
      <c r="E141">
        <f t="shared" si="2"/>
        <v>0</v>
      </c>
    </row>
    <row r="142" spans="5:5" x14ac:dyDescent="0.3">
      <c r="E142">
        <f t="shared" si="2"/>
        <v>0</v>
      </c>
    </row>
    <row r="143" spans="5:5" x14ac:dyDescent="0.3">
      <c r="E143">
        <f t="shared" si="2"/>
        <v>0</v>
      </c>
    </row>
    <row r="144" spans="5:5" x14ac:dyDescent="0.3">
      <c r="E144">
        <f t="shared" si="2"/>
        <v>0</v>
      </c>
    </row>
    <row r="145" spans="5:5" x14ac:dyDescent="0.3">
      <c r="E145">
        <f t="shared" si="2"/>
        <v>0</v>
      </c>
    </row>
    <row r="146" spans="5:5" x14ac:dyDescent="0.3">
      <c r="E146">
        <f t="shared" si="2"/>
        <v>0</v>
      </c>
    </row>
    <row r="147" spans="5:5" x14ac:dyDescent="0.3">
      <c r="E147">
        <f t="shared" si="2"/>
        <v>0</v>
      </c>
    </row>
    <row r="148" spans="5:5" x14ac:dyDescent="0.3">
      <c r="E148">
        <f t="shared" si="2"/>
        <v>0</v>
      </c>
    </row>
    <row r="149" spans="5:5" x14ac:dyDescent="0.3">
      <c r="E149">
        <f t="shared" si="2"/>
        <v>0</v>
      </c>
    </row>
    <row r="150" spans="5:5" x14ac:dyDescent="0.3">
      <c r="E150">
        <f t="shared" si="2"/>
        <v>0</v>
      </c>
    </row>
    <row r="151" spans="5:5" x14ac:dyDescent="0.3">
      <c r="E151">
        <f t="shared" si="2"/>
        <v>0</v>
      </c>
    </row>
    <row r="152" spans="5:5" x14ac:dyDescent="0.3">
      <c r="E152">
        <f t="shared" si="2"/>
        <v>0</v>
      </c>
    </row>
    <row r="153" spans="5:5" x14ac:dyDescent="0.3">
      <c r="E153">
        <f t="shared" si="2"/>
        <v>0</v>
      </c>
    </row>
    <row r="154" spans="5:5" x14ac:dyDescent="0.3">
      <c r="E154">
        <f t="shared" si="2"/>
        <v>0</v>
      </c>
    </row>
    <row r="155" spans="5:5" x14ac:dyDescent="0.3">
      <c r="E155">
        <f t="shared" si="2"/>
        <v>0</v>
      </c>
    </row>
    <row r="156" spans="5:5" x14ac:dyDescent="0.3">
      <c r="E156">
        <f t="shared" si="2"/>
        <v>0</v>
      </c>
    </row>
    <row r="157" spans="5:5" x14ac:dyDescent="0.3">
      <c r="E157">
        <f t="shared" si="2"/>
        <v>0</v>
      </c>
    </row>
    <row r="158" spans="5:5" x14ac:dyDescent="0.3">
      <c r="E158">
        <f t="shared" si="2"/>
        <v>0</v>
      </c>
    </row>
    <row r="159" spans="5:5" x14ac:dyDescent="0.3">
      <c r="E159">
        <f t="shared" si="2"/>
        <v>0</v>
      </c>
    </row>
    <row r="160" spans="5:5" x14ac:dyDescent="0.3">
      <c r="E160">
        <f t="shared" si="2"/>
        <v>0</v>
      </c>
    </row>
    <row r="161" spans="5:5" x14ac:dyDescent="0.3">
      <c r="E161">
        <f t="shared" si="2"/>
        <v>0</v>
      </c>
    </row>
    <row r="162" spans="5:5" x14ac:dyDescent="0.3">
      <c r="E162">
        <f t="shared" si="2"/>
        <v>0</v>
      </c>
    </row>
    <row r="163" spans="5:5" x14ac:dyDescent="0.3">
      <c r="E163">
        <f t="shared" si="2"/>
        <v>0</v>
      </c>
    </row>
    <row r="164" spans="5:5" x14ac:dyDescent="0.3">
      <c r="E164">
        <f t="shared" si="2"/>
        <v>0</v>
      </c>
    </row>
    <row r="165" spans="5:5" x14ac:dyDescent="0.3">
      <c r="E165">
        <f t="shared" si="2"/>
        <v>0</v>
      </c>
    </row>
    <row r="166" spans="5:5" x14ac:dyDescent="0.3">
      <c r="E166">
        <f t="shared" si="2"/>
        <v>0</v>
      </c>
    </row>
    <row r="167" spans="5:5" x14ac:dyDescent="0.3">
      <c r="E167">
        <f t="shared" si="2"/>
        <v>0</v>
      </c>
    </row>
    <row r="168" spans="5:5" x14ac:dyDescent="0.3">
      <c r="E168">
        <f t="shared" si="2"/>
        <v>0</v>
      </c>
    </row>
    <row r="169" spans="5:5" x14ac:dyDescent="0.3">
      <c r="E169">
        <f t="shared" si="2"/>
        <v>0</v>
      </c>
    </row>
    <row r="170" spans="5:5" x14ac:dyDescent="0.3">
      <c r="E170">
        <f t="shared" si="2"/>
        <v>0</v>
      </c>
    </row>
    <row r="171" spans="5:5" x14ac:dyDescent="0.3">
      <c r="E171">
        <f t="shared" si="2"/>
        <v>0</v>
      </c>
    </row>
    <row r="172" spans="5:5" x14ac:dyDescent="0.3">
      <c r="E172">
        <f t="shared" si="2"/>
        <v>0</v>
      </c>
    </row>
    <row r="173" spans="5:5" x14ac:dyDescent="0.3">
      <c r="E173">
        <f t="shared" si="2"/>
        <v>0</v>
      </c>
    </row>
    <row r="174" spans="5:5" x14ac:dyDescent="0.3">
      <c r="E174">
        <f t="shared" si="2"/>
        <v>0</v>
      </c>
    </row>
    <row r="175" spans="5:5" x14ac:dyDescent="0.3">
      <c r="E175">
        <f t="shared" si="2"/>
        <v>0</v>
      </c>
    </row>
    <row r="176" spans="5:5" x14ac:dyDescent="0.3">
      <c r="E176">
        <f t="shared" si="2"/>
        <v>0</v>
      </c>
    </row>
    <row r="177" spans="5:5" x14ac:dyDescent="0.3">
      <c r="E177">
        <f t="shared" si="2"/>
        <v>0</v>
      </c>
    </row>
    <row r="178" spans="5:5" x14ac:dyDescent="0.3">
      <c r="E178">
        <f t="shared" si="2"/>
        <v>0</v>
      </c>
    </row>
    <row r="179" spans="5:5" x14ac:dyDescent="0.3">
      <c r="E179">
        <f t="shared" si="2"/>
        <v>0</v>
      </c>
    </row>
    <row r="180" spans="5:5" x14ac:dyDescent="0.3">
      <c r="E180">
        <f t="shared" si="2"/>
        <v>0</v>
      </c>
    </row>
    <row r="181" spans="5:5" x14ac:dyDescent="0.3">
      <c r="E181">
        <f t="shared" si="2"/>
        <v>0</v>
      </c>
    </row>
    <row r="182" spans="5:5" x14ac:dyDescent="0.3">
      <c r="E182">
        <f t="shared" si="2"/>
        <v>0</v>
      </c>
    </row>
    <row r="183" spans="5:5" x14ac:dyDescent="0.3">
      <c r="E183">
        <f t="shared" si="2"/>
        <v>0</v>
      </c>
    </row>
    <row r="184" spans="5:5" x14ac:dyDescent="0.3">
      <c r="E184">
        <f t="shared" si="2"/>
        <v>0</v>
      </c>
    </row>
    <row r="185" spans="5:5" x14ac:dyDescent="0.3">
      <c r="E185">
        <f t="shared" si="2"/>
        <v>0</v>
      </c>
    </row>
    <row r="186" spans="5:5" x14ac:dyDescent="0.3">
      <c r="E186">
        <f t="shared" si="2"/>
        <v>0</v>
      </c>
    </row>
    <row r="187" spans="5:5" x14ac:dyDescent="0.3">
      <c r="E187">
        <f t="shared" si="2"/>
        <v>0</v>
      </c>
    </row>
    <row r="188" spans="5:5" x14ac:dyDescent="0.3">
      <c r="E188">
        <f t="shared" si="2"/>
        <v>0</v>
      </c>
    </row>
    <row r="189" spans="5:5" x14ac:dyDescent="0.3">
      <c r="E189">
        <f t="shared" si="2"/>
        <v>0</v>
      </c>
    </row>
    <row r="190" spans="5:5" x14ac:dyDescent="0.3">
      <c r="E190">
        <f t="shared" si="2"/>
        <v>0</v>
      </c>
    </row>
    <row r="191" spans="5:5" x14ac:dyDescent="0.3">
      <c r="E191">
        <f t="shared" si="2"/>
        <v>0</v>
      </c>
    </row>
    <row r="192" spans="5:5" x14ac:dyDescent="0.3">
      <c r="E192">
        <f t="shared" si="2"/>
        <v>0</v>
      </c>
    </row>
    <row r="193" spans="5:5" x14ac:dyDescent="0.3">
      <c r="E193">
        <f t="shared" si="2"/>
        <v>0</v>
      </c>
    </row>
    <row r="194" spans="5:5" x14ac:dyDescent="0.3">
      <c r="E194">
        <f t="shared" si="2"/>
        <v>0</v>
      </c>
    </row>
    <row r="195" spans="5:5" x14ac:dyDescent="0.3">
      <c r="E195">
        <f t="shared" ref="E195:E200" si="3">IF(B$1="Klas",D195,C195)</f>
        <v>0</v>
      </c>
    </row>
    <row r="196" spans="5:5" x14ac:dyDescent="0.3">
      <c r="E196">
        <f t="shared" si="3"/>
        <v>0</v>
      </c>
    </row>
    <row r="197" spans="5:5" x14ac:dyDescent="0.3">
      <c r="E197">
        <f t="shared" si="3"/>
        <v>0</v>
      </c>
    </row>
    <row r="198" spans="5:5" x14ac:dyDescent="0.3">
      <c r="E198">
        <f t="shared" si="3"/>
        <v>0</v>
      </c>
    </row>
    <row r="199" spans="5:5" x14ac:dyDescent="0.3">
      <c r="E199">
        <f t="shared" si="3"/>
        <v>0</v>
      </c>
    </row>
    <row r="200" spans="5:5" x14ac:dyDescent="0.3">
      <c r="E200">
        <f t="shared" si="3"/>
        <v>0</v>
      </c>
    </row>
    <row r="201" spans="5:5" s="2" customFormat="1" x14ac:dyDescent="0.3"/>
  </sheetData>
  <dataValidations count="2">
    <dataValidation type="list" allowBlank="1" showInputMessage="1" showErrorMessage="1" sqref="B1" xr:uid="{D8336F8C-FEA0-4C53-B398-0CE3A79180A6}">
      <formula1>$C$1:$D$1</formula1>
    </dataValidation>
    <dataValidation type="list" allowBlank="1" showInputMessage="1" showErrorMessage="1" sqref="B2" xr:uid="{99F9ED16-8D2F-473A-95F8-FF68542B39B1}">
      <formula1>$E$2:$E$200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4C7E-C3E7-48E9-8F8C-61D08D462F51}">
  <dimension ref="A1:L33"/>
  <sheetViews>
    <sheetView workbookViewId="0">
      <selection activeCell="Q14" sqref="Q14"/>
    </sheetView>
  </sheetViews>
  <sheetFormatPr defaultRowHeight="14.4" x14ac:dyDescent="0.3"/>
  <cols>
    <col min="1" max="1" width="37.109375" customWidth="1"/>
    <col min="2" max="2" width="3.88671875" customWidth="1"/>
    <col min="3" max="3" width="9.88671875" bestFit="1" customWidth="1"/>
  </cols>
  <sheetData>
    <row r="1" spans="1:12" x14ac:dyDescent="0.3">
      <c r="A1" t="s">
        <v>130</v>
      </c>
      <c r="B1" cm="1">
        <f t="array" ref="B1">MAX(_xlfn.MAKEARRAY(UI!F$1,1,_xlfn.LAMBDA(_xlpm.r,_xlpm.c,IF(COUNTIF(Rooster!C1:BA1,INDEX(UI!F$2:F$33,_xlpm.r,1))&gt;0,INDEX(UI!F$2:F$33,_xlpm.r,1)+1,0))))-1</f>
        <v>45</v>
      </c>
      <c r="C1" t="str" cm="1">
        <f t="array" ref="C1:L1">IF(A1="","",_xlfn.TEXTSPLIT(A1,","))</f>
        <v>97</v>
      </c>
      <c r="D1" t="str">
        <v>101</v>
      </c>
      <c r="E1" t="str">
        <v>71</v>
      </c>
      <c r="F1" t="str">
        <v>45</v>
      </c>
      <c r="G1" t="str">
        <v>113</v>
      </c>
      <c r="H1" t="str">
        <v>19</v>
      </c>
      <c r="I1" t="str">
        <v>21</v>
      </c>
      <c r="J1" t="str">
        <v>54</v>
      </c>
      <c r="K1" t="str">
        <v>117</v>
      </c>
      <c r="L1" t="str">
        <v>85</v>
      </c>
    </row>
    <row r="2" spans="1:12" x14ac:dyDescent="0.3">
      <c r="A2" t="s">
        <v>131</v>
      </c>
      <c r="B2" cm="1">
        <f t="array" ref="B2">MAX(_xlfn.MAKEARRAY(UI!F$1,1,_xlfn.LAMBDA(_xlpm.r,_xlpm.c,IF(COUNTIF(Rooster!C2:BA2,INDEX(UI!F$2:F$33,_xlpm.r,1))&gt;0,INDEX(UI!F$2:F$33,_xlpm.r,1)+1,0))))-1</f>
        <v>45</v>
      </c>
      <c r="C2" t="str" cm="1">
        <f t="array" ref="C2:L2">IF(A2="","",_xlfn.TEXTSPLIT(A2,","))</f>
        <v>98</v>
      </c>
      <c r="D2" t="str">
        <v>100</v>
      </c>
      <c r="E2" t="str">
        <v>69</v>
      </c>
      <c r="F2" t="str">
        <v>74</v>
      </c>
      <c r="G2" t="str">
        <v>45</v>
      </c>
      <c r="H2" t="str">
        <v>114</v>
      </c>
      <c r="I2" t="str">
        <v>115</v>
      </c>
      <c r="J2" t="str">
        <v>85</v>
      </c>
      <c r="K2" t="str">
        <v>54</v>
      </c>
      <c r="L2" t="str">
        <v>22</v>
      </c>
    </row>
    <row r="3" spans="1:12" x14ac:dyDescent="0.3">
      <c r="A3" t="s">
        <v>132</v>
      </c>
      <c r="B3" cm="1">
        <f t="array" ref="B3">MAX(_xlfn.MAKEARRAY(UI!F$1,1,_xlfn.LAMBDA(_xlpm.r,_xlpm.c,IF(COUNTIF(Rooster!C3:BA3,INDEX(UI!F$2:F$33,_xlpm.r,1))&gt;0,INDEX(UI!F$2:F$33,_xlpm.r,1)+1,0))))-1</f>
        <v>-1</v>
      </c>
      <c r="C3" t="str" cm="1">
        <f t="array" ref="C3:L3">IF(A3="","",_xlfn.TEXTSPLIT(A3,","))</f>
        <v>96</v>
      </c>
      <c r="D3" t="str">
        <v>65</v>
      </c>
      <c r="E3" t="str">
        <v>64</v>
      </c>
      <c r="F3" t="str">
        <v>102</v>
      </c>
      <c r="G3" t="str">
        <v>113</v>
      </c>
      <c r="H3" t="str">
        <v>81</v>
      </c>
      <c r="I3" t="str">
        <v>23</v>
      </c>
      <c r="J3" t="str">
        <v>54</v>
      </c>
      <c r="K3" t="str">
        <v>87</v>
      </c>
      <c r="L3" t="str">
        <v>121</v>
      </c>
    </row>
    <row r="4" spans="1:12" x14ac:dyDescent="0.3">
      <c r="A4" t="s">
        <v>133</v>
      </c>
      <c r="B4" cm="1">
        <f t="array" ref="B4">MAX(_xlfn.MAKEARRAY(UI!F$1,1,_xlfn.LAMBDA(_xlpm.r,_xlpm.c,IF(COUNTIF(Rooster!C4:BA4,INDEX(UI!F$2:F$33,_xlpm.r,1))&gt;0,INDEX(UI!F$2:F$33,_xlpm.r,1)+1,0))))-1</f>
        <v>45</v>
      </c>
      <c r="C4" t="str" cm="1">
        <f t="array" ref="C4:L4">IF(A4="","",_xlfn.TEXTSPLIT(A4,","))</f>
        <v>66</v>
      </c>
      <c r="D4" t="str">
        <v>98</v>
      </c>
      <c r="E4" t="str">
        <v>73</v>
      </c>
      <c r="F4" t="str">
        <v>45</v>
      </c>
      <c r="G4" t="str">
        <v>17</v>
      </c>
      <c r="H4" t="str">
        <v>114</v>
      </c>
      <c r="I4" t="str">
        <v>118</v>
      </c>
      <c r="J4" t="str">
        <v>55</v>
      </c>
      <c r="K4" t="str">
        <v>24</v>
      </c>
      <c r="L4" t="str">
        <v>88</v>
      </c>
    </row>
    <row r="5" spans="1:12" x14ac:dyDescent="0.3">
      <c r="A5" t="s">
        <v>134</v>
      </c>
      <c r="B5" cm="1">
        <f t="array" ref="B5">MAX(_xlfn.MAKEARRAY(UI!F$1,1,_xlfn.LAMBDA(_xlpm.r,_xlpm.c,IF(COUNTIF(Rooster!C5:BA5,INDEX(UI!F$2:F$33,_xlpm.r,1))&gt;0,INDEX(UI!F$2:F$33,_xlpm.r,1)+1,0))))-1</f>
        <v>-1</v>
      </c>
      <c r="C5" t="str" cm="1">
        <f t="array" ref="C5:L5">IF(A5="","",_xlfn.TEXTSPLIT(A5,","))</f>
        <v>89</v>
      </c>
      <c r="D5" t="str">
        <v>97</v>
      </c>
      <c r="E5" t="str">
        <v>67</v>
      </c>
      <c r="F5" t="str">
        <v>69</v>
      </c>
      <c r="G5" t="str">
        <v>76</v>
      </c>
      <c r="H5" t="str">
        <v>113</v>
      </c>
      <c r="I5" t="str">
        <v>20</v>
      </c>
      <c r="J5" t="str">
        <v>120</v>
      </c>
      <c r="K5" t="str">
        <v>25</v>
      </c>
      <c r="L5" t="str">
        <v>56</v>
      </c>
    </row>
    <row r="6" spans="1:12" x14ac:dyDescent="0.3">
      <c r="A6" t="s">
        <v>135</v>
      </c>
      <c r="B6" cm="1">
        <f t="array" ref="B6">MAX(_xlfn.MAKEARRAY(UI!F$1,1,_xlfn.LAMBDA(_xlpm.r,_xlpm.c,IF(COUNTIF(Rooster!C6:BA6,INDEX(UI!F$2:F$33,_xlpm.r,1))&gt;0,INDEX(UI!F$2:F$33,_xlpm.r,1)+1,0))))-1</f>
        <v>38</v>
      </c>
      <c r="C6" t="str" cm="1">
        <f t="array" ref="C6:L6">IF(A6="","",_xlfn.TEXTSPLIT(A6,","))</f>
        <v>100</v>
      </c>
      <c r="D6" t="str">
        <v>68</v>
      </c>
      <c r="E6" t="str">
        <v>70</v>
      </c>
      <c r="F6" t="str">
        <v>38</v>
      </c>
      <c r="G6" t="str">
        <v>74</v>
      </c>
      <c r="H6" t="str">
        <v>18</v>
      </c>
      <c r="I6" t="str">
        <v>114</v>
      </c>
      <c r="J6" t="str">
        <v>21</v>
      </c>
      <c r="K6" t="str">
        <v>57</v>
      </c>
      <c r="L6" t="str">
        <v>122</v>
      </c>
    </row>
    <row r="7" spans="1:12" x14ac:dyDescent="0.3">
      <c r="A7" t="s">
        <v>136</v>
      </c>
      <c r="B7" cm="1">
        <f t="array" ref="B7">MAX(_xlfn.MAKEARRAY(UI!F$1,1,_xlfn.LAMBDA(_xlpm.r,_xlpm.c,IF(COUNTIF(Rooster!C7:BA7,INDEX(UI!F$2:F$33,_xlpm.r,1))&gt;0,INDEX(UI!F$2:F$33,_xlpm.r,1)+1,0))))-1</f>
        <v>-1</v>
      </c>
      <c r="C7" t="str" cm="1">
        <f t="array" ref="C7:L7">IF(A7="","",_xlfn.TEXTSPLIT(A7,","))</f>
        <v>97</v>
      </c>
      <c r="D7" t="str">
        <v>101</v>
      </c>
      <c r="E7" t="str">
        <v>72</v>
      </c>
      <c r="F7" t="str">
        <v>75</v>
      </c>
      <c r="G7" t="str">
        <v>82</v>
      </c>
      <c r="H7" t="str">
        <v>51</v>
      </c>
      <c r="I7" t="str">
        <v>22</v>
      </c>
      <c r="J7" t="str">
        <v>55</v>
      </c>
      <c r="K7" t="str">
        <v>89</v>
      </c>
      <c r="L7" t="str">
        <v>124</v>
      </c>
    </row>
    <row r="8" spans="1:12" x14ac:dyDescent="0.3">
      <c r="A8" t="s">
        <v>137</v>
      </c>
      <c r="B8" cm="1">
        <f t="array" ref="B8">MAX(_xlfn.MAKEARRAY(UI!F$1,1,_xlfn.LAMBDA(_xlpm.r,_xlpm.c,IF(COUNTIF(Rooster!C8:BA8,INDEX(UI!F$2:F$33,_xlpm.r,1))&gt;0,INDEX(UI!F$2:F$33,_xlpm.r,1)+1,0))))-1</f>
        <v>42</v>
      </c>
      <c r="C8" t="str" cm="1">
        <f t="array" ref="C8:L8">IF(A8="","",_xlfn.TEXTSPLIT(A8,","))</f>
        <v>64</v>
      </c>
      <c r="D8" t="str">
        <v>66</v>
      </c>
      <c r="E8" t="str">
        <v>102</v>
      </c>
      <c r="F8" t="str">
        <v>42</v>
      </c>
      <c r="G8" t="str">
        <v>77</v>
      </c>
      <c r="H8" t="str">
        <v>17</v>
      </c>
      <c r="I8" t="str">
        <v>52</v>
      </c>
      <c r="J8" t="str">
        <v>23</v>
      </c>
      <c r="K8" t="str">
        <v>56</v>
      </c>
      <c r="L8" t="str">
        <v>95</v>
      </c>
    </row>
    <row r="9" spans="1:12" x14ac:dyDescent="0.3">
      <c r="A9" t="s">
        <v>138</v>
      </c>
      <c r="B9" cm="1">
        <f t="array" ref="B9">MAX(_xlfn.MAKEARRAY(UI!F$1,1,_xlfn.LAMBDA(_xlpm.r,_xlpm.c,IF(COUNTIF(Rooster!C9:BA9,INDEX(UI!F$2:F$33,_xlpm.r,1))&gt;0,INDEX(UI!F$2:F$33,_xlpm.r,1)+1,0))))-1</f>
        <v>45</v>
      </c>
      <c r="C9" t="str" cm="1">
        <f t="array" ref="C9:L9">IF(A9="","",_xlfn.TEXTSPLIT(A9,","))</f>
        <v>67</v>
      </c>
      <c r="D9" t="str">
        <v>73</v>
      </c>
      <c r="E9" t="str">
        <v>45</v>
      </c>
      <c r="F9" t="str">
        <v>113</v>
      </c>
      <c r="G9" t="str">
        <v>19</v>
      </c>
      <c r="H9" t="str">
        <v>86</v>
      </c>
      <c r="I9" t="str">
        <v>120</v>
      </c>
      <c r="J9" t="str">
        <v>57</v>
      </c>
      <c r="K9" t="str">
        <v>58</v>
      </c>
      <c r="L9" t="str">
        <v>24</v>
      </c>
    </row>
    <row r="10" spans="1:12" x14ac:dyDescent="0.3">
      <c r="A10" t="s">
        <v>139</v>
      </c>
      <c r="B10" cm="1">
        <f t="array" ref="B10">MAX(_xlfn.MAKEARRAY(UI!F$1,1,_xlfn.LAMBDA(_xlpm.r,_xlpm.c,IF(COUNTIF(Rooster!C10:BA10,INDEX(UI!F$2:F$33,_xlpm.r,1))&gt;0,INDEX(UI!F$2:F$33,_xlpm.r,1)+1,0))))-1</f>
        <v>-1</v>
      </c>
      <c r="C10" t="str" cm="1">
        <f t="array" ref="C10:L10">IF(A10="","",_xlfn.TEXTSPLIT(A10,","))</f>
        <v>98</v>
      </c>
      <c r="D10" t="str">
        <v>70</v>
      </c>
      <c r="E10" t="str">
        <v>114</v>
      </c>
      <c r="F10" t="str">
        <v>84</v>
      </c>
      <c r="G10" t="str">
        <v>20</v>
      </c>
      <c r="H10" t="str">
        <v>87</v>
      </c>
      <c r="I10" t="str">
        <v>55</v>
      </c>
      <c r="J10" t="str">
        <v>25</v>
      </c>
      <c r="K10" t="str">
        <v>123</v>
      </c>
      <c r="L10" t="str">
        <v>125</v>
      </c>
    </row>
    <row r="11" spans="1:12" x14ac:dyDescent="0.3">
      <c r="A11" t="s">
        <v>140</v>
      </c>
      <c r="B11" cm="1">
        <f t="array" ref="B11">MAX(_xlfn.MAKEARRAY(UI!F$1,1,_xlfn.LAMBDA(_xlpm.r,_xlpm.c,IF(COUNTIF(Rooster!C11:BA11,INDEX(UI!F$2:F$33,_xlpm.r,1))&gt;0,INDEX(UI!F$2:F$33,_xlpm.r,1)+1,0))))-1</f>
        <v>39</v>
      </c>
      <c r="C11" t="str" cm="1">
        <f t="array" ref="C11:L11">IF(A11="","",_xlfn.TEXTSPLIT(A11,","))</f>
        <v>65</v>
      </c>
      <c r="D11" t="str">
        <v>101</v>
      </c>
      <c r="E11" t="str">
        <v>39</v>
      </c>
      <c r="F11" t="str">
        <v>71</v>
      </c>
      <c r="G11" t="str">
        <v>75</v>
      </c>
      <c r="H11" t="str">
        <v>15</v>
      </c>
      <c r="I11" t="str">
        <v>50</v>
      </c>
      <c r="J11" t="str">
        <v>88</v>
      </c>
      <c r="K11" t="str">
        <v>56</v>
      </c>
      <c r="L11" t="str">
        <v>61</v>
      </c>
    </row>
    <row r="12" spans="1:12" x14ac:dyDescent="0.3">
      <c r="A12" t="s">
        <v>141</v>
      </c>
      <c r="B12" cm="1">
        <f t="array" ref="B12">MAX(_xlfn.MAKEARRAY(UI!F$1,1,_xlfn.LAMBDA(_xlpm.r,_xlpm.c,IF(COUNTIF(Rooster!C12:BA12,INDEX(UI!F$2:F$33,_xlpm.r,1))&gt;0,INDEX(UI!F$2:F$33,_xlpm.r,1)+1,0))))-1</f>
        <v>-1</v>
      </c>
      <c r="C12" t="str" cm="1">
        <f t="array" ref="C12:L12">IF(A12="","",_xlfn.TEXTSPLIT(A12,","))</f>
        <v>3</v>
      </c>
      <c r="D12" t="str">
        <v>68</v>
      </c>
      <c r="E12" t="str">
        <v>105</v>
      </c>
      <c r="F12" t="str">
        <v>14</v>
      </c>
      <c r="G12" t="str">
        <v>83</v>
      </c>
      <c r="H12" t="str">
        <v>51</v>
      </c>
      <c r="I12" t="str">
        <v>121</v>
      </c>
      <c r="J12" t="str">
        <v>90</v>
      </c>
      <c r="K12" t="str">
        <v>62</v>
      </c>
      <c r="L12" t="str">
        <v>95</v>
      </c>
    </row>
    <row r="13" spans="1:12" x14ac:dyDescent="0.3">
      <c r="A13" t="s">
        <v>142</v>
      </c>
      <c r="B13" cm="1">
        <f t="array" ref="B13">MAX(_xlfn.MAKEARRAY(UI!F$1,1,_xlfn.LAMBDA(_xlpm.r,_xlpm.c,IF(COUNTIF(Rooster!C13:BA13,INDEX(UI!F$2:F$33,_xlpm.r,1))&gt;0,INDEX(UI!F$2:F$33,_xlpm.r,1)+1,0))))-1</f>
        <v>40</v>
      </c>
      <c r="C13" t="str" cm="1">
        <f t="array" ref="C13:L13">IF(A13="","",_xlfn.TEXTSPLIT(A13,","))</f>
        <v>89</v>
      </c>
      <c r="D13" t="str">
        <v>35</v>
      </c>
      <c r="E13" t="str">
        <v>100</v>
      </c>
      <c r="F13" t="str">
        <v>6</v>
      </c>
      <c r="G13" t="str">
        <v>40</v>
      </c>
      <c r="H13" t="str">
        <v>72</v>
      </c>
      <c r="I13" t="str">
        <v>18</v>
      </c>
      <c r="J13" t="str">
        <v>21</v>
      </c>
      <c r="K13" t="str">
        <v>57</v>
      </c>
      <c r="L13" t="str">
        <v>63</v>
      </c>
    </row>
    <row r="14" spans="1:12" x14ac:dyDescent="0.3">
      <c r="A14" t="s">
        <v>143</v>
      </c>
      <c r="B14" cm="1">
        <f t="array" ref="B14">MAX(_xlfn.MAKEARRAY(UI!F$1,1,_xlfn.LAMBDA(_xlpm.r,_xlpm.c,IF(COUNTIF(Rooster!C14:BA14,INDEX(UI!F$2:F$33,_xlpm.r,1))&gt;0,INDEX(UI!F$2:F$33,_xlpm.r,1)+1,0))))-1</f>
        <v>-1</v>
      </c>
      <c r="C14" t="str" cm="1">
        <f t="array" ref="C14:L14">IF(A14="","",_xlfn.TEXTSPLIT(A14,","))</f>
        <v>96</v>
      </c>
      <c r="D14" t="str">
        <v>104</v>
      </c>
      <c r="E14" t="str">
        <v>73</v>
      </c>
      <c r="F14" t="str">
        <v>8</v>
      </c>
      <c r="G14" t="str">
        <v>13</v>
      </c>
      <c r="H14" t="str">
        <v>78</v>
      </c>
      <c r="I14" t="str">
        <v>47</v>
      </c>
      <c r="J14" t="str">
        <v>52</v>
      </c>
      <c r="K14" t="str">
        <v>119</v>
      </c>
      <c r="L14" t="str">
        <v>94</v>
      </c>
    </row>
    <row r="15" spans="1:12" x14ac:dyDescent="0.3">
      <c r="A15" t="s">
        <v>144</v>
      </c>
      <c r="B15" cm="1">
        <f t="array" ref="B15">MAX(_xlfn.MAKEARRAY(UI!F$1,1,_xlfn.LAMBDA(_xlpm.r,_xlpm.c,IF(COUNTIF(Rooster!C15:BA15,INDEX(UI!F$2:F$33,_xlpm.r,1))&gt;0,INDEX(UI!F$2:F$33,_xlpm.r,1)+1,0))))-1</f>
        <v>41</v>
      </c>
      <c r="C15" t="str" cm="1">
        <f t="array" ref="C15:L15">IF(A15="","",_xlfn.TEXTSPLIT(A15,","))</f>
        <v>0</v>
      </c>
      <c r="D15" t="str">
        <v>34</v>
      </c>
      <c r="E15" t="str">
        <v>102</v>
      </c>
      <c r="F15" t="str">
        <v>41</v>
      </c>
      <c r="G15" t="str">
        <v>75</v>
      </c>
      <c r="H15" t="str">
        <v>110</v>
      </c>
      <c r="I15" t="str">
        <v>17</v>
      </c>
      <c r="J15" t="str">
        <v>49</v>
      </c>
      <c r="K15" t="str">
        <v>22</v>
      </c>
      <c r="L15" t="str">
        <v>27</v>
      </c>
    </row>
    <row r="16" spans="1:12" x14ac:dyDescent="0.3">
      <c r="A16" t="s">
        <v>145</v>
      </c>
      <c r="B16" cm="1">
        <f t="array" ref="B16">MAX(_xlfn.MAKEARRAY(UI!F$1,1,_xlfn.LAMBDA(_xlpm.r,_xlpm.c,IF(COUNTIF(Rooster!C16:BA16,INDEX(UI!F$2:F$33,_xlpm.r,1))&gt;0,INDEX(UI!F$2:F$33,_xlpm.r,1)+1,0))))-1</f>
        <v>-1</v>
      </c>
      <c r="C16" t="str" cm="1">
        <f t="array" ref="C16:L16">IF(A16="","",_xlfn.TEXTSPLIT(A16,","))</f>
        <v>64</v>
      </c>
      <c r="D16" t="str">
        <v>97</v>
      </c>
      <c r="E16" t="str">
        <v>66</v>
      </c>
      <c r="F16" t="str">
        <v>2</v>
      </c>
      <c r="G16" t="str">
        <v>79</v>
      </c>
      <c r="H16" t="str">
        <v>116</v>
      </c>
      <c r="I16" t="str">
        <v>55</v>
      </c>
      <c r="J16" t="str">
        <v>87</v>
      </c>
      <c r="K16" t="str">
        <v>24</v>
      </c>
      <c r="L16" t="str">
        <v>29</v>
      </c>
    </row>
    <row r="17" spans="1:12" x14ac:dyDescent="0.3">
      <c r="A17" t="s">
        <v>146</v>
      </c>
      <c r="B17" cm="1">
        <f t="array" ref="B17">MAX(_xlfn.MAKEARRAY(UI!F$1,1,_xlfn.LAMBDA(_xlpm.r,_xlpm.c,IF(COUNTIF(Rooster!C17:BA17,INDEX(UI!F$2:F$33,_xlpm.r,1))&gt;0,INDEX(UI!F$2:F$33,_xlpm.r,1)+1,0))))-1</f>
        <v>43</v>
      </c>
      <c r="C17" t="str" cm="1">
        <f t="array" ref="C17:L17">IF(A17="","",_xlfn.TEXTSPLIT(A17,","))</f>
        <v>36</v>
      </c>
      <c r="D17" t="str">
        <v>69</v>
      </c>
      <c r="E17" t="str">
        <v>7</v>
      </c>
      <c r="F17" t="str">
        <v>74</v>
      </c>
      <c r="G17" t="str">
        <v>43</v>
      </c>
      <c r="H17" t="str">
        <v>10</v>
      </c>
      <c r="I17" t="str">
        <v>107</v>
      </c>
      <c r="J17" t="str">
        <v>20</v>
      </c>
      <c r="K17" t="str">
        <v>88</v>
      </c>
      <c r="L17" t="str">
        <v>91</v>
      </c>
    </row>
    <row r="18" spans="1:12" x14ac:dyDescent="0.3">
      <c r="A18" t="s">
        <v>147</v>
      </c>
      <c r="B18" cm="1">
        <f t="array" ref="B18">MAX(_xlfn.MAKEARRAY(UI!F$1,1,_xlfn.LAMBDA(_xlpm.r,_xlpm.c,IF(COUNTIF(Rooster!C18:BA18,INDEX(UI!F$2:F$33,_xlpm.r,1))&gt;0,INDEX(UI!F$2:F$33,_xlpm.r,1)+1,0))))-1</f>
        <v>-1</v>
      </c>
      <c r="C18" t="str" cm="1">
        <f t="array" ref="C18:L18">IF(A18="","",_xlfn.TEXTSPLIT(A18,","))</f>
        <v>1</v>
      </c>
      <c r="D18" t="str">
        <v>67</v>
      </c>
      <c r="E18" t="str">
        <v>102</v>
      </c>
      <c r="F18" t="str">
        <v>12</v>
      </c>
      <c r="G18" t="str">
        <v>76</v>
      </c>
      <c r="H18" t="str">
        <v>46</v>
      </c>
      <c r="I18" t="str">
        <v>51</v>
      </c>
      <c r="J18" t="str">
        <v>56</v>
      </c>
      <c r="K18" t="str">
        <v>25</v>
      </c>
      <c r="L18" t="str">
        <v>92</v>
      </c>
    </row>
    <row r="19" spans="1:12" x14ac:dyDescent="0.3">
      <c r="A19" t="s">
        <v>148</v>
      </c>
      <c r="B19" cm="1">
        <f t="array" ref="B19">MAX(_xlfn.MAKEARRAY(UI!F$1,1,_xlfn.LAMBDA(_xlpm.r,_xlpm.c,IF(COUNTIF(Rooster!C19:BA19,INDEX(UI!F$2:F$33,_xlpm.r,1))&gt;0,INDEX(UI!F$2:F$33,_xlpm.r,1)+1,0))))-1</f>
        <v>44</v>
      </c>
      <c r="C19" t="str" cm="1">
        <f t="array" ref="C19:L19">IF(A19="","",_xlfn.TEXTSPLIT(A19,","))</f>
        <v>70</v>
      </c>
      <c r="D19" t="str">
        <v>9</v>
      </c>
      <c r="E19" t="str">
        <v>106</v>
      </c>
      <c r="F19" t="str">
        <v>44</v>
      </c>
      <c r="G19" t="str">
        <v>19</v>
      </c>
      <c r="H19" t="str">
        <v>118</v>
      </c>
      <c r="I19" t="str">
        <v>58</v>
      </c>
      <c r="J19" t="str">
        <v>28</v>
      </c>
      <c r="K19" t="str">
        <v>93</v>
      </c>
      <c r="L19" t="str">
        <v>95</v>
      </c>
    </row>
    <row r="20" spans="1:12" x14ac:dyDescent="0.3">
      <c r="A20" t="s">
        <v>149</v>
      </c>
      <c r="B20" cm="1">
        <f t="array" ref="B20">MAX(_xlfn.MAKEARRAY(UI!F$1,1,_xlfn.LAMBDA(_xlpm.r,_xlpm.c,IF(COUNTIF(Rooster!C20:BA20,INDEX(UI!F$2:F$33,_xlpm.r,1))&gt;0,INDEX(UI!F$2:F$33,_xlpm.r,1)+1,0))))-1</f>
        <v>-1</v>
      </c>
      <c r="C20" t="str" cm="1">
        <f t="array" ref="C20:L20">IF(A20="","",_xlfn.TEXTSPLIT(A20,","))</f>
        <v>65</v>
      </c>
      <c r="D20" t="str">
        <v>98</v>
      </c>
      <c r="E20" t="str">
        <v>4</v>
      </c>
      <c r="F20" t="str">
        <v>37</v>
      </c>
      <c r="G20" t="str">
        <v>72</v>
      </c>
      <c r="H20" t="str">
        <v>73</v>
      </c>
      <c r="I20" t="str">
        <v>11</v>
      </c>
      <c r="J20" t="str">
        <v>47</v>
      </c>
      <c r="K20" t="str">
        <v>52</v>
      </c>
      <c r="L20" t="str">
        <v>23</v>
      </c>
    </row>
    <row r="21" spans="1:12" x14ac:dyDescent="0.3">
      <c r="A21" t="s">
        <v>150</v>
      </c>
      <c r="B21" cm="1">
        <f t="array" ref="B21">MAX(_xlfn.MAKEARRAY(UI!F$1,1,_xlfn.LAMBDA(_xlpm.r,_xlpm.c,IF(COUNTIF(Rooster!C21:BA21,INDEX(UI!F$2:F$33,_xlpm.r,1))&gt;0,INDEX(UI!F$2:F$33,_xlpm.r,1)+1,0))))-1</f>
        <v>42</v>
      </c>
      <c r="C21" t="str" cm="1">
        <f t="array" ref="C21:L21">IF(A21="","",_xlfn.TEXTSPLIT(A21,","))</f>
        <v>100</v>
      </c>
      <c r="D21" t="str">
        <v>68</v>
      </c>
      <c r="E21" t="str">
        <v>42</v>
      </c>
      <c r="F21" t="str">
        <v>77</v>
      </c>
      <c r="G21" t="str">
        <v>111</v>
      </c>
      <c r="H21" t="str">
        <v>119</v>
      </c>
      <c r="I21" t="str">
        <v>53</v>
      </c>
      <c r="J21" t="str">
        <v>87</v>
      </c>
      <c r="K21" t="str">
        <v>26</v>
      </c>
      <c r="L21" t="str">
        <v>62</v>
      </c>
    </row>
    <row r="22" spans="1:12" x14ac:dyDescent="0.3">
      <c r="A22" t="s">
        <v>151</v>
      </c>
      <c r="B22" cm="1">
        <f t="array" ref="B22">MAX(_xlfn.MAKEARRAY(UI!F$1,1,_xlfn.LAMBDA(_xlpm.r,_xlpm.c,IF(COUNTIF(Rooster!C22:BA22,INDEX(UI!F$2:F$33,_xlpm.r,1))&gt;0,INDEX(UI!F$2:F$33,_xlpm.r,1)+1,0))))-1</f>
        <v>-1</v>
      </c>
      <c r="C22" t="str" cm="1">
        <f t="array" ref="C22:L22">IF(A22="","",_xlfn.TEXTSPLIT(A22,","))</f>
        <v>5</v>
      </c>
      <c r="D22" t="str">
        <v>101</v>
      </c>
      <c r="E22" t="str">
        <v>71</v>
      </c>
      <c r="F22" t="str">
        <v>103</v>
      </c>
      <c r="G22" t="str">
        <v>74</v>
      </c>
      <c r="H22" t="str">
        <v>48</v>
      </c>
      <c r="I22" t="str">
        <v>80</v>
      </c>
      <c r="J22" t="str">
        <v>88</v>
      </c>
      <c r="K22" t="str">
        <v>57</v>
      </c>
      <c r="L22" t="str">
        <v>124</v>
      </c>
    </row>
    <row r="23" spans="1:12" x14ac:dyDescent="0.3">
      <c r="A23" t="s">
        <v>152</v>
      </c>
      <c r="B23" cm="1">
        <f t="array" ref="B23">MAX(_xlfn.MAKEARRAY(UI!F$1,1,_xlfn.LAMBDA(_xlpm.r,_xlpm.c,IF(COUNTIF(Rooster!C23:BA23,INDEX(UI!F$2:F$33,_xlpm.r,1))&gt;0,INDEX(UI!F$2:F$33,_xlpm.r,1)+1,0))))-1</f>
        <v>41</v>
      </c>
      <c r="C23" t="str" cm="1">
        <f t="array" ref="C23:L23">IF(A23="","",_xlfn.TEXTSPLIT(A23,","))</f>
        <v>0</v>
      </c>
      <c r="D23" t="str">
        <v>96</v>
      </c>
      <c r="E23" t="str">
        <v>34</v>
      </c>
      <c r="F23" t="str">
        <v>41</v>
      </c>
      <c r="G23" t="str">
        <v>11</v>
      </c>
      <c r="H23" t="str">
        <v>16</v>
      </c>
      <c r="I23" t="str">
        <v>23</v>
      </c>
      <c r="J23" t="str">
        <v>90</v>
      </c>
      <c r="K23" t="str">
        <v>30</v>
      </c>
      <c r="L23" t="str">
        <v>63</v>
      </c>
    </row>
    <row r="24" spans="1:12" x14ac:dyDescent="0.3">
      <c r="A24" t="s">
        <v>153</v>
      </c>
      <c r="B24" cm="1">
        <f t="array" ref="B24">MAX(_xlfn.MAKEARRAY(UI!F$1,1,_xlfn.LAMBDA(_xlpm.r,_xlpm.c,IF(COUNTIF(Rooster!C24:BA24,INDEX(UI!F$2:F$33,_xlpm.r,1))&gt;0,INDEX(UI!F$2:F$33,_xlpm.r,1)+1,0))))-1</f>
        <v>-1</v>
      </c>
      <c r="C24" t="str" cm="1">
        <f t="array" ref="C24:L24">IF(A24="","",_xlfn.TEXTSPLIT(A24,","))</f>
        <v>32</v>
      </c>
      <c r="D24" t="str">
        <v>35</v>
      </c>
      <c r="E24" t="str">
        <v>6</v>
      </c>
      <c r="F24" t="str">
        <v>75</v>
      </c>
      <c r="G24" t="str">
        <v>108</v>
      </c>
      <c r="H24" t="str">
        <v>81</v>
      </c>
      <c r="I24" t="str">
        <v>17</v>
      </c>
      <c r="J24" t="str">
        <v>51</v>
      </c>
      <c r="K24" t="str">
        <v>116</v>
      </c>
      <c r="L24" t="str">
        <v>89</v>
      </c>
    </row>
    <row r="25" spans="1:12" x14ac:dyDescent="0.3">
      <c r="A25" t="s">
        <v>154</v>
      </c>
      <c r="B25" cm="1">
        <f t="array" ref="B25">MAX(_xlfn.MAKEARRAY(UI!F$1,1,_xlfn.LAMBDA(_xlpm.r,_xlpm.c,IF(COUNTIF(Rooster!C25:BA25,INDEX(UI!F$2:F$33,_xlpm.r,1))&gt;0,INDEX(UI!F$2:F$33,_xlpm.r,1)+1,0))))-1</f>
        <v>43</v>
      </c>
      <c r="C25" t="str" cm="1">
        <f t="array" ref="C25:L25">IF(A25="","",_xlfn.TEXTSPLIT(A25,","))</f>
        <v>64</v>
      </c>
      <c r="D25" t="str">
        <v>1</v>
      </c>
      <c r="E25" t="str">
        <v>96</v>
      </c>
      <c r="F25" t="str">
        <v>68</v>
      </c>
      <c r="G25" t="str">
        <v>10</v>
      </c>
      <c r="H25" t="str">
        <v>43</v>
      </c>
      <c r="I25" t="str">
        <v>46</v>
      </c>
      <c r="J25" t="str">
        <v>52</v>
      </c>
      <c r="K25" t="str">
        <v>54</v>
      </c>
      <c r="L25" t="str">
        <v>24</v>
      </c>
    </row>
    <row r="26" spans="1:12" x14ac:dyDescent="0.3">
      <c r="A26" t="s">
        <v>155</v>
      </c>
      <c r="B26" cm="1">
        <f t="array" ref="B26">MAX(_xlfn.MAKEARRAY(UI!F$1,1,_xlfn.LAMBDA(_xlpm.r,_xlpm.c,IF(COUNTIF(Rooster!C26:BA26,INDEX(UI!F$2:F$33,_xlpm.r,1))&gt;0,INDEX(UI!F$2:F$33,_xlpm.r,1)+1,0))))-1</f>
        <v>-1</v>
      </c>
      <c r="C26" t="str" cm="1">
        <f t="array" ref="C26:L26">IF(A26="","",_xlfn.TEXTSPLIT(A26,","))</f>
        <v>2</v>
      </c>
      <c r="D26" t="str">
        <v>100</v>
      </c>
      <c r="E26" t="str">
        <v>69</v>
      </c>
      <c r="F26" t="str">
        <v>7</v>
      </c>
      <c r="G26" t="str">
        <v>109</v>
      </c>
      <c r="H26" t="str">
        <v>14</v>
      </c>
      <c r="I26" t="str">
        <v>82</v>
      </c>
      <c r="J26" t="str">
        <v>20</v>
      </c>
      <c r="K26" t="str">
        <v>117</v>
      </c>
      <c r="L26" t="str">
        <v>91</v>
      </c>
    </row>
    <row r="27" spans="1:12" x14ac:dyDescent="0.3">
      <c r="A27" t="s">
        <v>156</v>
      </c>
      <c r="B27" cm="1">
        <f t="array" ref="B27">MAX(_xlfn.MAKEARRAY(UI!F$1,1,_xlfn.LAMBDA(_xlpm.r,_xlpm.c,IF(COUNTIF(Rooster!C27:BA27,INDEX(UI!F$2:F$33,_xlpm.r,1))&gt;0,INDEX(UI!F$2:F$33,_xlpm.r,1)+1,0))))-1</f>
        <v>40</v>
      </c>
      <c r="C27" t="str" cm="1">
        <f t="array" ref="C27:L27">IF(A27="","",_xlfn.TEXTSPLIT(A27,","))</f>
        <v>67</v>
      </c>
      <c r="D27" t="str">
        <v>36</v>
      </c>
      <c r="E27" t="str">
        <v>40</v>
      </c>
      <c r="F27" t="str">
        <v>75</v>
      </c>
      <c r="G27" t="str">
        <v>48</v>
      </c>
      <c r="H27" t="str">
        <v>21</v>
      </c>
      <c r="I27" t="str">
        <v>56</v>
      </c>
      <c r="J27" t="str">
        <v>59</v>
      </c>
      <c r="K27" t="str">
        <v>28</v>
      </c>
      <c r="L27" t="str">
        <v>94</v>
      </c>
    </row>
    <row r="28" spans="1:12" x14ac:dyDescent="0.3">
      <c r="A28" t="s">
        <v>157</v>
      </c>
      <c r="B28" cm="1">
        <f t="array" ref="B28">MAX(_xlfn.MAKEARRAY(UI!F$1,1,_xlfn.LAMBDA(_xlpm.r,_xlpm.c,IF(COUNTIF(Rooster!C28:BA28,INDEX(UI!F$2:F$33,_xlpm.r,1))&gt;0,INDEX(UI!F$2:F$33,_xlpm.r,1)+1,0))))-1</f>
        <v>-1</v>
      </c>
      <c r="C28" t="str" cm="1">
        <f t="array" ref="C28:L28">IF(A28="","",_xlfn.TEXTSPLIT(A28,","))</f>
        <v>97</v>
      </c>
      <c r="D28" t="str">
        <v>70</v>
      </c>
      <c r="E28" t="str">
        <v>9</v>
      </c>
      <c r="F28" t="str">
        <v>12</v>
      </c>
      <c r="G28" t="str">
        <v>112</v>
      </c>
      <c r="H28" t="str">
        <v>19</v>
      </c>
      <c r="I28" t="str">
        <v>84</v>
      </c>
      <c r="J28" t="str">
        <v>87</v>
      </c>
      <c r="K28" t="str">
        <v>122</v>
      </c>
      <c r="L28" t="str">
        <v>125</v>
      </c>
    </row>
    <row r="29" spans="1:12" x14ac:dyDescent="0.3">
      <c r="A29" t="s">
        <v>158</v>
      </c>
      <c r="B29" cm="1">
        <f t="array" ref="B29">MAX(_xlfn.MAKEARRAY(UI!F$1,1,_xlfn.LAMBDA(_xlpm.r,_xlpm.c,IF(COUNTIF(Rooster!C29:BA29,INDEX(UI!F$2:F$33,_xlpm.r,1))&gt;0,INDEX(UI!F$2:F$33,_xlpm.r,1)+1,0))))-1</f>
        <v>39</v>
      </c>
      <c r="C29" t="str" cm="1">
        <f t="array" ref="C29:L29">IF(A29="","",_xlfn.TEXTSPLIT(A29,","))</f>
        <v>65</v>
      </c>
      <c r="D29" t="str">
        <v>3</v>
      </c>
      <c r="E29" t="str">
        <v>102</v>
      </c>
      <c r="F29" t="str">
        <v>39</v>
      </c>
      <c r="G29" t="str">
        <v>71</v>
      </c>
      <c r="H29" t="str">
        <v>49</v>
      </c>
      <c r="I29" t="str">
        <v>51</v>
      </c>
      <c r="J29" t="str">
        <v>22</v>
      </c>
      <c r="K29" t="str">
        <v>55</v>
      </c>
      <c r="L29" t="str">
        <v>29</v>
      </c>
    </row>
    <row r="30" spans="1:12" x14ac:dyDescent="0.3">
      <c r="A30" t="s">
        <v>159</v>
      </c>
      <c r="B30" cm="1">
        <f t="array" ref="B30">MAX(_xlfn.MAKEARRAY(UI!F$1,1,_xlfn.LAMBDA(_xlpm.r,_xlpm.c,IF(COUNTIF(Rooster!C30:BA30,INDEX(UI!F$2:F$33,_xlpm.r,1))&gt;0,INDEX(UI!F$2:F$33,_xlpm.r,1)+1,0))))-1</f>
        <v>-1</v>
      </c>
      <c r="C30" t="str" cm="1">
        <f t="array" ref="C30:L30">IF(A30="","",_xlfn.TEXTSPLIT(A30,","))</f>
        <v>98</v>
      </c>
      <c r="D30" t="str">
        <v>4</v>
      </c>
      <c r="E30" t="str">
        <v>37</v>
      </c>
      <c r="F30" t="str">
        <v>73</v>
      </c>
      <c r="G30" t="str">
        <v>13</v>
      </c>
      <c r="H30" t="str">
        <v>92</v>
      </c>
      <c r="I30" t="str">
        <v>83</v>
      </c>
      <c r="J30" t="str">
        <v>89</v>
      </c>
      <c r="K30" t="str">
        <v>123</v>
      </c>
      <c r="L30" t="str">
        <v>60</v>
      </c>
    </row>
    <row r="31" spans="1:12" x14ac:dyDescent="0.3">
      <c r="A31" t="s">
        <v>160</v>
      </c>
      <c r="B31" cm="1">
        <f t="array" ref="B31">MAX(_xlfn.MAKEARRAY(UI!F$1,1,_xlfn.LAMBDA(_xlpm.r,_xlpm.c,IF(COUNTIF(Rooster!C31:BA31,INDEX(UI!F$2:F$33,_xlpm.r,1))&gt;0,INDEX(UI!F$2:F$33,_xlpm.r,1)+1,0))))-1</f>
        <v>45</v>
      </c>
      <c r="C31" t="str" cm="1">
        <f t="array" ref="C31:L31">IF(A31="","",_xlfn.TEXTSPLIT(A31,","))</f>
        <v>8</v>
      </c>
      <c r="D31" t="str">
        <v>72</v>
      </c>
      <c r="E31" t="str">
        <v>45</v>
      </c>
      <c r="F31" t="str">
        <v>113</v>
      </c>
      <c r="G31" t="str">
        <v>18</v>
      </c>
      <c r="H31" t="str">
        <v>52</v>
      </c>
      <c r="I31" t="str">
        <v>86</v>
      </c>
      <c r="J31" t="str">
        <v>25</v>
      </c>
      <c r="K31" t="str">
        <v>93</v>
      </c>
      <c r="L31" t="str">
        <v>95</v>
      </c>
    </row>
    <row r="32" spans="1:12" x14ac:dyDescent="0.3">
      <c r="A32" t="s">
        <v>161</v>
      </c>
      <c r="B32" cm="1">
        <f t="array" ref="B32">MAX(_xlfn.MAKEARRAY(UI!F$1,1,_xlfn.LAMBDA(_xlpm.r,_xlpm.c,IF(COUNTIF(Rooster!C32:BA32,INDEX(UI!F$2:F$33,_xlpm.r,1))&gt;0,INDEX(UI!F$2:F$33,_xlpm.r,1)+1,0))))-1</f>
        <v>-1</v>
      </c>
      <c r="C32" t="str" cm="1">
        <f t="array" ref="C32:L32">IF(A32="","",_xlfn.TEXTSPLIT(A32,","))</f>
        <v>66</v>
      </c>
      <c r="D32" t="str">
        <v>101</v>
      </c>
      <c r="E32" t="str">
        <v>74</v>
      </c>
      <c r="F32" t="str">
        <v>50</v>
      </c>
      <c r="G32" t="str">
        <v>114</v>
      </c>
      <c r="H32" t="str">
        <v>115</v>
      </c>
      <c r="I32" t="str">
        <v>88</v>
      </c>
      <c r="J32" t="str">
        <v>57</v>
      </c>
      <c r="K32" t="str">
        <v>61</v>
      </c>
      <c r="L32" t="str">
        <v>31</v>
      </c>
    </row>
    <row r="33" s="2" customFormat="1" x14ac:dyDescent="0.3"/>
  </sheetData>
  <conditionalFormatting sqref="B1:B32">
    <cfRule type="cellIs" dxfId="0" priority="1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9036-5450-4403-BDD7-EF69F272EB43}">
  <dimension ref="A1:I625"/>
  <sheetViews>
    <sheetView topLeftCell="A71" workbookViewId="0">
      <selection activeCell="L89" sqref="L89"/>
    </sheetView>
  </sheetViews>
  <sheetFormatPr defaultRowHeight="14.4" x14ac:dyDescent="0.3"/>
  <cols>
    <col min="1" max="1" width="28" customWidth="1"/>
    <col min="2" max="2" width="14.109375" customWidth="1"/>
    <col min="3" max="4" width="8.88671875" style="1"/>
    <col min="5" max="5" width="22.21875" style="1" customWidth="1"/>
    <col min="6" max="7" width="8.88671875" style="1"/>
  </cols>
  <sheetData>
    <row r="1" spans="1:9" x14ac:dyDescent="0.3">
      <c r="A1" t="s">
        <v>3</v>
      </c>
      <c r="B1" t="str">
        <f>IF(COUNTIF(C1:I1,UI!B$2)=0,"/nope/",ROW(A1)-1)</f>
        <v>/nope/</v>
      </c>
      <c r="C1" s="1" t="str" cm="1">
        <f t="array" ref="C1:F1">IF(A1="","",_xlfn.TEXTSPLIT(A1,","))</f>
        <v>BC</v>
      </c>
      <c r="D1" s="1" t="str">
        <v>GODSD</v>
      </c>
      <c r="E1" s="1" t="str">
        <v>1LATA</v>
      </c>
      <c r="F1" s="1" t="str">
        <v>2</v>
      </c>
      <c r="G1" s="1" t="str">
        <f>IF(E1="","",IF(I1="",E1,""))</f>
        <v>1LATA</v>
      </c>
      <c r="H1" t="str" cm="1">
        <f t="array" ref="H1">_xlfn.TEXTSPLIT(E1,"/")</f>
        <v>1LATA</v>
      </c>
    </row>
    <row r="2" spans="1:9" x14ac:dyDescent="0.3">
      <c r="A2" t="s">
        <v>4</v>
      </c>
      <c r="B2" t="str">
        <f>IF(COUNTIF(C2:I2,UI!B$2)=0,"/nope/",ROW(A2)-1)</f>
        <v>/nope/</v>
      </c>
      <c r="C2" s="1" t="str" cm="1">
        <f t="array" ref="C2:F2">IF(A2="","",_xlfn.TEXTSPLIT(A2,","))</f>
        <v>BC</v>
      </c>
      <c r="D2" s="1" t="str">
        <v>GODSD</v>
      </c>
      <c r="E2" s="1" t="str">
        <v>1LATB</v>
      </c>
      <c r="F2" s="1" t="str">
        <v>2</v>
      </c>
      <c r="G2" s="1" t="str">
        <f t="shared" ref="G2:G65" si="0">IF(E2="","",IF(I2="",E2,""))</f>
        <v>1LATB</v>
      </c>
      <c r="H2" t="str" cm="1">
        <f t="array" ref="H2">_xlfn.TEXTSPLIT(E2,"/")</f>
        <v>1LATB</v>
      </c>
    </row>
    <row r="3" spans="1:9" x14ac:dyDescent="0.3">
      <c r="A3" t="s">
        <v>5</v>
      </c>
      <c r="B3" t="str">
        <f>IF(COUNTIF(C3:I3,UI!B$2)=0,"/nope/",ROW(A3)-1)</f>
        <v>/nope/</v>
      </c>
      <c r="C3" s="1" t="str" cm="1">
        <f t="array" ref="C3:F3">IF(A3="","",_xlfn.TEXTSPLIT(A3,","))</f>
        <v>BC</v>
      </c>
      <c r="D3" s="1" t="str">
        <v>GODSD</v>
      </c>
      <c r="E3" s="1" t="str">
        <v>1LATE</v>
      </c>
      <c r="F3" s="1" t="str">
        <v>2</v>
      </c>
      <c r="G3" s="1" t="str">
        <f t="shared" si="0"/>
        <v>1LATE</v>
      </c>
      <c r="H3" t="str" cm="1">
        <f t="array" ref="H3">_xlfn.TEXTSPLIT(E3,"/")</f>
        <v>1LATE</v>
      </c>
    </row>
    <row r="4" spans="1:9" x14ac:dyDescent="0.3">
      <c r="A4" t="s">
        <v>6</v>
      </c>
      <c r="B4" t="str">
        <f>IF(COUNTIF(C4:I4,UI!B$2)=0,"/nope/",ROW(A4)-1)</f>
        <v>/nope/</v>
      </c>
      <c r="C4" s="1" t="str" cm="1">
        <f t="array" ref="C4:F4">IF(A4="","",_xlfn.TEXTSPLIT(A4,","))</f>
        <v>BC</v>
      </c>
      <c r="D4" s="1" t="str">
        <v>GODSD</v>
      </c>
      <c r="E4" s="1" t="str">
        <v>1LATC</v>
      </c>
      <c r="F4" s="1" t="str">
        <v>2</v>
      </c>
      <c r="G4" s="1" t="str">
        <f t="shared" si="0"/>
        <v>1LATC</v>
      </c>
      <c r="H4" t="str" cm="1">
        <f t="array" ref="H4">_xlfn.TEXTSPLIT(E4,"/")</f>
        <v>1LATC</v>
      </c>
    </row>
    <row r="5" spans="1:9" x14ac:dyDescent="0.3">
      <c r="A5" t="s">
        <v>7</v>
      </c>
      <c r="B5" t="str">
        <f>IF(COUNTIF(C5:I5,UI!B$2)=0,"/nope/",ROW(A5)-1)</f>
        <v>/nope/</v>
      </c>
      <c r="C5" s="1" t="str" cm="1">
        <f t="array" ref="C5:F5">IF(A5="","",_xlfn.TEXTSPLIT(A5,","))</f>
        <v>BC</v>
      </c>
      <c r="D5" s="1" t="str">
        <v>GODSD</v>
      </c>
      <c r="E5" s="1" t="str">
        <v>1LATD</v>
      </c>
      <c r="F5" s="1" t="str">
        <v>2</v>
      </c>
      <c r="G5" s="1" t="str">
        <f t="shared" si="0"/>
        <v>1LATD</v>
      </c>
      <c r="H5" t="str" cm="1">
        <f t="array" ref="H5">_xlfn.TEXTSPLIT(E5,"/")</f>
        <v>1LATD</v>
      </c>
    </row>
    <row r="6" spans="1:9" x14ac:dyDescent="0.3">
      <c r="A6" t="s">
        <v>8</v>
      </c>
      <c r="B6" t="str">
        <f>IF(COUNTIF(C6:I6,UI!B$2)=0,"/nope/",ROW(A6)-1)</f>
        <v>/nope/</v>
      </c>
      <c r="C6" s="1" t="str" cm="1">
        <f t="array" ref="C6:F6">IF(A6="","",_xlfn.TEXTSPLIT(A6,","))</f>
        <v>BH</v>
      </c>
      <c r="D6" s="1" t="str">
        <v>LO</v>
      </c>
      <c r="E6" s="1" t="str">
        <v>2GLAA/2LATA</v>
      </c>
      <c r="F6" s="1" t="str">
        <v>1</v>
      </c>
      <c r="G6" s="1" t="str">
        <f t="shared" si="0"/>
        <v/>
      </c>
      <c r="H6" t="str" cm="1">
        <f t="array" ref="H6:I6">_xlfn.TEXTSPLIT(E6,"/")</f>
        <v>2GLAA</v>
      </c>
      <c r="I6" t="str">
        <v>2LATA</v>
      </c>
    </row>
    <row r="7" spans="1:9" x14ac:dyDescent="0.3">
      <c r="A7" t="s">
        <v>9</v>
      </c>
      <c r="B7" t="str">
        <f>IF(COUNTIF(C7:I7,UI!B$2)=0,"/nope/",ROW(A7)-1)</f>
        <v>/nope/</v>
      </c>
      <c r="C7" s="1" t="str" cm="1">
        <f t="array" ref="C7:F7">IF(A7="","",_xlfn.TEXTSPLIT(A7,","))</f>
        <v>BH</v>
      </c>
      <c r="D7" s="1" t="str">
        <v>LO</v>
      </c>
      <c r="E7" s="1" t="str">
        <v>2LATB</v>
      </c>
      <c r="F7" s="1" t="str">
        <v>2</v>
      </c>
      <c r="G7" s="1" t="str">
        <f t="shared" si="0"/>
        <v>2LATB</v>
      </c>
      <c r="H7" t="str" cm="1">
        <f t="array" ref="H7">_xlfn.TEXTSPLIT(E7,"/")</f>
        <v>2LATB</v>
      </c>
    </row>
    <row r="8" spans="1:9" x14ac:dyDescent="0.3">
      <c r="A8" t="s">
        <v>10</v>
      </c>
      <c r="B8" t="str">
        <f>IF(COUNTIF(C8:I8,UI!B$2)=0,"/nope/",ROW(A8)-1)</f>
        <v>/nope/</v>
      </c>
      <c r="C8" s="1" t="str" cm="1">
        <f t="array" ref="C8:F8">IF(A8="","",_xlfn.TEXTSPLIT(A8,","))</f>
        <v>BH</v>
      </c>
      <c r="D8" s="1" t="str">
        <v>LO</v>
      </c>
      <c r="E8" s="1" t="str">
        <v>2LATC</v>
      </c>
      <c r="F8" s="1" t="str">
        <v>2</v>
      </c>
      <c r="G8" s="1" t="str">
        <f t="shared" si="0"/>
        <v>2LATC</v>
      </c>
      <c r="H8" t="str" cm="1">
        <f t="array" ref="H8">_xlfn.TEXTSPLIT(E8,"/")</f>
        <v>2LATC</v>
      </c>
    </row>
    <row r="9" spans="1:9" x14ac:dyDescent="0.3">
      <c r="A9" t="s">
        <v>11</v>
      </c>
      <c r="B9" t="str">
        <f>IF(COUNTIF(C9:I9,UI!B$2)=0,"/nope/",ROW(A9)-1)</f>
        <v>/nope/</v>
      </c>
      <c r="C9" s="1" t="str" cm="1">
        <f t="array" ref="C9:F9">IF(A9="","",_xlfn.TEXTSPLIT(A9,","))</f>
        <v>BH</v>
      </c>
      <c r="D9" s="1" t="str">
        <v>LO</v>
      </c>
      <c r="E9" s="1" t="str">
        <v>2LATD</v>
      </c>
      <c r="F9" s="1" t="str">
        <v>2</v>
      </c>
      <c r="G9" s="1" t="str">
        <f t="shared" si="0"/>
        <v>2LATD</v>
      </c>
      <c r="H9" t="str" cm="1">
        <f t="array" ref="H9">_xlfn.TEXTSPLIT(E9,"/")</f>
        <v>2LATD</v>
      </c>
    </row>
    <row r="10" spans="1:9" x14ac:dyDescent="0.3">
      <c r="A10" t="s">
        <v>12</v>
      </c>
      <c r="B10" t="str">
        <f>IF(COUNTIF(C10:I10,UI!B$2)=0,"/nope/",ROW(A10)-1)</f>
        <v>/nope/</v>
      </c>
      <c r="C10" s="1" t="str" cm="1">
        <f t="array" ref="C10:F10">IF(A10="","",_xlfn.TEXTSPLIT(A10,","))</f>
        <v>BH</v>
      </c>
      <c r="D10" s="1" t="str">
        <v>LO</v>
      </c>
      <c r="E10" s="1" t="str">
        <v>2LATE</v>
      </c>
      <c r="F10" s="1" t="str">
        <v>2</v>
      </c>
      <c r="G10" s="1" t="str">
        <f t="shared" si="0"/>
        <v>2LATE</v>
      </c>
      <c r="H10" t="str" cm="1">
        <f t="array" ref="H10">_xlfn.TEXTSPLIT(E10,"/")</f>
        <v>2LATE</v>
      </c>
    </row>
    <row r="11" spans="1:9" x14ac:dyDescent="0.3">
      <c r="A11" t="s">
        <v>13</v>
      </c>
      <c r="B11" t="str">
        <f>IF(COUNTIF(C11:I11,UI!B$2)=0,"/nope/",ROW(A11)-1)</f>
        <v>/nope/</v>
      </c>
      <c r="C11" s="1" t="str" cm="1">
        <f t="array" ref="C11:F11">IF(A11="","",_xlfn.TEXTSPLIT(A11,","))</f>
        <v>CK</v>
      </c>
      <c r="D11" s="1" t="str">
        <v>LO</v>
      </c>
      <c r="E11" s="1" t="str">
        <v>1LATA</v>
      </c>
      <c r="F11" s="1" t="str">
        <v>2</v>
      </c>
      <c r="G11" s="1" t="str">
        <f t="shared" si="0"/>
        <v>1LATA</v>
      </c>
      <c r="H11" t="str" cm="1">
        <f t="array" ref="H11">_xlfn.TEXTSPLIT(E11,"/")</f>
        <v>1LATA</v>
      </c>
    </row>
    <row r="12" spans="1:9" x14ac:dyDescent="0.3">
      <c r="A12" t="s">
        <v>14</v>
      </c>
      <c r="B12" t="str">
        <f>IF(COUNTIF(C12:I12,UI!B$2)=0,"/nope/",ROW(A12)-1)</f>
        <v>/nope/</v>
      </c>
      <c r="C12" s="1" t="str" cm="1">
        <f t="array" ref="C12:F12">IF(A12="","",_xlfn.TEXTSPLIT(A12,","))</f>
        <v>CK</v>
      </c>
      <c r="D12" s="1" t="str">
        <v>LO</v>
      </c>
      <c r="E12" s="1" t="str">
        <v>1LATB</v>
      </c>
      <c r="F12" s="1" t="str">
        <v>2</v>
      </c>
      <c r="G12" s="1" t="str">
        <f t="shared" si="0"/>
        <v>1LATB</v>
      </c>
      <c r="H12" t="str" cm="1">
        <f t="array" ref="H12">_xlfn.TEXTSPLIT(E12,"/")</f>
        <v>1LATB</v>
      </c>
    </row>
    <row r="13" spans="1:9" x14ac:dyDescent="0.3">
      <c r="A13" t="s">
        <v>15</v>
      </c>
      <c r="B13" t="str">
        <f>IF(COUNTIF(C13:I13,UI!B$2)=0,"/nope/",ROW(A13)-1)</f>
        <v>/nope/</v>
      </c>
      <c r="C13" s="1" t="str" cm="1">
        <f t="array" ref="C13:F13">IF(A13="","",_xlfn.TEXTSPLIT(A13,","))</f>
        <v>CK</v>
      </c>
      <c r="D13" s="1" t="str">
        <v>LO</v>
      </c>
      <c r="E13" s="1" t="str">
        <v>1LATE</v>
      </c>
      <c r="F13" s="1" t="str">
        <v>2</v>
      </c>
      <c r="G13" s="1" t="str">
        <f t="shared" si="0"/>
        <v>1LATE</v>
      </c>
      <c r="H13" t="str" cm="1">
        <f t="array" ref="H13">_xlfn.TEXTSPLIT(E13,"/")</f>
        <v>1LATE</v>
      </c>
    </row>
    <row r="14" spans="1:9" x14ac:dyDescent="0.3">
      <c r="A14" t="s">
        <v>16</v>
      </c>
      <c r="B14" t="str">
        <f>IF(COUNTIF(C14:I14,UI!B$2)=0,"/nope/",ROW(A14)-1)</f>
        <v>/nope/</v>
      </c>
      <c r="C14" s="1" t="str" cm="1">
        <f t="array" ref="C14:F14">IF(A14="","",_xlfn.TEXTSPLIT(A14,","))</f>
        <v>CK</v>
      </c>
      <c r="D14" s="1" t="str">
        <v>LO</v>
      </c>
      <c r="E14" s="1" t="str">
        <v>1LATC</v>
      </c>
      <c r="F14" s="1" t="str">
        <v>2</v>
      </c>
      <c r="G14" s="1" t="str">
        <f t="shared" si="0"/>
        <v>1LATC</v>
      </c>
      <c r="H14" t="str" cm="1">
        <f t="array" ref="H14">_xlfn.TEXTSPLIT(E14,"/")</f>
        <v>1LATC</v>
      </c>
    </row>
    <row r="15" spans="1:9" x14ac:dyDescent="0.3">
      <c r="A15" t="s">
        <v>17</v>
      </c>
      <c r="B15" t="str">
        <f>IF(COUNTIF(C15:I15,UI!B$2)=0,"/nope/",ROW(A15)-1)</f>
        <v>/nope/</v>
      </c>
      <c r="C15" s="1" t="str" cm="1">
        <f t="array" ref="C15:F15">IF(A15="","",_xlfn.TEXTSPLIT(A15,","))</f>
        <v>CK</v>
      </c>
      <c r="D15" s="1" t="str">
        <v>LO</v>
      </c>
      <c r="E15" s="1" t="str">
        <v>1LATD</v>
      </c>
      <c r="F15" s="1" t="str">
        <v>2</v>
      </c>
      <c r="G15" s="1" t="str">
        <f t="shared" si="0"/>
        <v>1LATD</v>
      </c>
      <c r="H15" t="str" cm="1">
        <f t="array" ref="H15">_xlfn.TEXTSPLIT(E15,"/")</f>
        <v>1LATD</v>
      </c>
    </row>
    <row r="16" spans="1:9" x14ac:dyDescent="0.3">
      <c r="A16" t="s">
        <v>18</v>
      </c>
      <c r="B16" t="str">
        <f>IF(COUNTIF(C16:I16,UI!B$2)=0,"/nope/",ROW(A16)-1)</f>
        <v>/nope/</v>
      </c>
      <c r="C16" s="1" t="str" cm="1">
        <f t="array" ref="C16:F16">IF(A16="","",_xlfn.TEXTSPLIT(A16,","))</f>
        <v>CK</v>
      </c>
      <c r="D16" s="1" t="str">
        <v>LO</v>
      </c>
      <c r="E16" s="1" t="str">
        <v>2GLAA/2LATA</v>
      </c>
      <c r="F16" s="1" t="str">
        <v>1</v>
      </c>
      <c r="G16" s="1" t="str">
        <f t="shared" si="0"/>
        <v/>
      </c>
      <c r="H16" t="str" cm="1">
        <f t="array" ref="H16:I16">_xlfn.TEXTSPLIT(E16,"/")</f>
        <v>2GLAA</v>
      </c>
      <c r="I16" t="str">
        <v>2LATA</v>
      </c>
    </row>
    <row r="17" spans="1:9" x14ac:dyDescent="0.3">
      <c r="A17" t="s">
        <v>19</v>
      </c>
      <c r="B17" t="str">
        <f>IF(COUNTIF(C17:I17,UI!B$2)=0,"/nope/",ROW(A17)-1)</f>
        <v>/nope/</v>
      </c>
      <c r="C17" s="1" t="str" cm="1">
        <f t="array" ref="C17:F17">IF(A17="","",_xlfn.TEXTSPLIT(A17,","))</f>
        <v>DSG</v>
      </c>
      <c r="D17" s="1" t="str">
        <v>NED</v>
      </c>
      <c r="E17" s="1" t="str">
        <v>2GLAA/2LATA</v>
      </c>
      <c r="F17" s="1" t="str">
        <v>1</v>
      </c>
      <c r="G17" s="1" t="str">
        <f t="shared" si="0"/>
        <v/>
      </c>
      <c r="H17" t="str" cm="1">
        <f t="array" ref="H17:I17">_xlfn.TEXTSPLIT(E17,"/")</f>
        <v>2GLAA</v>
      </c>
      <c r="I17" t="str">
        <v>2LATA</v>
      </c>
    </row>
    <row r="18" spans="1:9" x14ac:dyDescent="0.3">
      <c r="A18" t="s">
        <v>20</v>
      </c>
      <c r="B18" t="str">
        <f>IF(COUNTIF(C18:I18,UI!B$2)=0,"/nope/",ROW(A18)-1)</f>
        <v>/nope/</v>
      </c>
      <c r="C18" s="1" t="str" cm="1">
        <f t="array" ref="C18:F18">IF(A18="","",_xlfn.TEXTSPLIT(A18,","))</f>
        <v>DSG</v>
      </c>
      <c r="D18" s="1" t="str">
        <v>NED</v>
      </c>
      <c r="E18" s="1" t="str">
        <v>2LATD</v>
      </c>
      <c r="F18" s="1" t="str">
        <v>4</v>
      </c>
      <c r="G18" s="1" t="str">
        <f t="shared" si="0"/>
        <v>2LATD</v>
      </c>
      <c r="H18" t="str" cm="1">
        <f t="array" ref="H18">_xlfn.TEXTSPLIT(E18,"/")</f>
        <v>2LATD</v>
      </c>
    </row>
    <row r="19" spans="1:9" x14ac:dyDescent="0.3">
      <c r="A19" t="s">
        <v>21</v>
      </c>
      <c r="B19" t="str">
        <f>IF(COUNTIF(C19:I19,UI!B$2)=0,"/nope/",ROW(A19)-1)</f>
        <v>/nope/</v>
      </c>
      <c r="C19" s="1" t="str" cm="1">
        <f t="array" ref="C19:F19">IF(A19="","",_xlfn.TEXTSPLIT(A19,","))</f>
        <v>DSG</v>
      </c>
      <c r="D19" s="1" t="str">
        <v>NED</v>
      </c>
      <c r="E19" s="1" t="str">
        <v>2GLAA/2LATA</v>
      </c>
      <c r="F19" s="1" t="str">
        <v>3</v>
      </c>
      <c r="G19" s="1" t="str">
        <f t="shared" si="0"/>
        <v/>
      </c>
      <c r="H19" t="str" cm="1">
        <f t="array" ref="H19:I19">_xlfn.TEXTSPLIT(E19,"/")</f>
        <v>2GLAA</v>
      </c>
      <c r="I19" t="str">
        <v>2LATA</v>
      </c>
    </row>
    <row r="20" spans="1:9" x14ac:dyDescent="0.3">
      <c r="A20" t="s">
        <v>22</v>
      </c>
      <c r="B20" t="str">
        <f>IF(COUNTIF(C20:I20,UI!B$2)=0,"/nope/",ROW(A20)-1)</f>
        <v>/nope/</v>
      </c>
      <c r="C20" s="1" t="str" cm="1">
        <f t="array" ref="C20:F20">IF(A20="","",_xlfn.TEXTSPLIT(A20,","))</f>
        <v>DSG</v>
      </c>
      <c r="D20" s="1" t="str">
        <v>NED</v>
      </c>
      <c r="E20" s="1" t="str">
        <v>2LATB</v>
      </c>
      <c r="F20" s="1" t="str">
        <v>4</v>
      </c>
      <c r="G20" s="1" t="str">
        <f t="shared" si="0"/>
        <v>2LATB</v>
      </c>
      <c r="H20" t="str" cm="1">
        <f t="array" ref="H20">_xlfn.TEXTSPLIT(E20,"/")</f>
        <v>2LATB</v>
      </c>
    </row>
    <row r="21" spans="1:9" x14ac:dyDescent="0.3">
      <c r="A21" t="s">
        <v>23</v>
      </c>
      <c r="B21" t="str">
        <f>IF(COUNTIF(C21:I21,UI!B$2)=0,"/nope/",ROW(A21)-1)</f>
        <v>/nope/</v>
      </c>
      <c r="C21" s="1" t="str" cm="1">
        <f t="array" ref="C21:F21">IF(A21="","",_xlfn.TEXTSPLIT(A21,","))</f>
        <v>DSG</v>
      </c>
      <c r="D21" s="1" t="str">
        <v>NED</v>
      </c>
      <c r="E21" s="1" t="str">
        <v>2LATE</v>
      </c>
      <c r="F21" s="1" t="str">
        <v>4</v>
      </c>
      <c r="G21" s="1" t="str">
        <f t="shared" si="0"/>
        <v>2LATE</v>
      </c>
      <c r="H21" t="str" cm="1">
        <f t="array" ref="H21">_xlfn.TEXTSPLIT(E21,"/")</f>
        <v>2LATE</v>
      </c>
    </row>
    <row r="22" spans="1:9" x14ac:dyDescent="0.3">
      <c r="A22" t="s">
        <v>24</v>
      </c>
      <c r="B22" t="str">
        <f>IF(COUNTIF(C22:I22,UI!B$2)=0,"/nope/",ROW(A22)-1)</f>
        <v>/nope/</v>
      </c>
      <c r="C22" s="1" t="str" cm="1">
        <f t="array" ref="C22:F22">IF(A22="","",_xlfn.TEXTSPLIT(A22,","))</f>
        <v>KE</v>
      </c>
      <c r="D22" s="1" t="str">
        <v>NED</v>
      </c>
      <c r="E22" s="1" t="str">
        <v>1LATA</v>
      </c>
      <c r="F22" s="1" t="str">
        <v>4</v>
      </c>
      <c r="G22" s="1" t="str">
        <f t="shared" si="0"/>
        <v>1LATA</v>
      </c>
      <c r="H22" t="str" cm="1">
        <f t="array" ref="H22">_xlfn.TEXTSPLIT(E22,"/")</f>
        <v>1LATA</v>
      </c>
    </row>
    <row r="23" spans="1:9" x14ac:dyDescent="0.3">
      <c r="A23" t="s">
        <v>25</v>
      </c>
      <c r="B23" t="str">
        <f>IF(COUNTIF(C23:I23,UI!B$2)=0,"/nope/",ROW(A23)-1)</f>
        <v>/nope/</v>
      </c>
      <c r="C23" s="1" t="str" cm="1">
        <f t="array" ref="C23:F23">IF(A23="","",_xlfn.TEXTSPLIT(A23,","))</f>
        <v>KE</v>
      </c>
      <c r="D23" s="1" t="str">
        <v>NED</v>
      </c>
      <c r="E23" s="1" t="str">
        <v>1LATB</v>
      </c>
      <c r="F23" s="1" t="str">
        <v>4</v>
      </c>
      <c r="G23" s="1" t="str">
        <f t="shared" si="0"/>
        <v>1LATB</v>
      </c>
      <c r="H23" t="str" cm="1">
        <f t="array" ref="H23">_xlfn.TEXTSPLIT(E23,"/")</f>
        <v>1LATB</v>
      </c>
    </row>
    <row r="24" spans="1:9" x14ac:dyDescent="0.3">
      <c r="A24" t="s">
        <v>26</v>
      </c>
      <c r="B24" t="str">
        <f>IF(COUNTIF(C24:I24,UI!B$2)=0,"/nope/",ROW(A24)-1)</f>
        <v>/nope/</v>
      </c>
      <c r="C24" s="1" t="str" cm="1">
        <f t="array" ref="C24:F24">IF(A24="","",_xlfn.TEXTSPLIT(A24,","))</f>
        <v>KE</v>
      </c>
      <c r="D24" s="1" t="str">
        <v>NED</v>
      </c>
      <c r="E24" s="1" t="str">
        <v>1LATE</v>
      </c>
      <c r="F24" s="1" t="str">
        <v>4</v>
      </c>
      <c r="G24" s="1" t="str">
        <f t="shared" si="0"/>
        <v>1LATE</v>
      </c>
      <c r="H24" t="str" cm="1">
        <f t="array" ref="H24">_xlfn.TEXTSPLIT(E24,"/")</f>
        <v>1LATE</v>
      </c>
    </row>
    <row r="25" spans="1:9" x14ac:dyDescent="0.3">
      <c r="A25" t="s">
        <v>27</v>
      </c>
      <c r="B25" t="str">
        <f>IF(COUNTIF(C25:I25,UI!B$2)=0,"/nope/",ROW(A25)-1)</f>
        <v>/nope/</v>
      </c>
      <c r="C25" s="1" t="str" cm="1">
        <f t="array" ref="C25:F25">IF(A25="","",_xlfn.TEXTSPLIT(A25,","))</f>
        <v>KE</v>
      </c>
      <c r="D25" s="1" t="str">
        <v>NED</v>
      </c>
      <c r="E25" s="1" t="str">
        <v>1LATC</v>
      </c>
      <c r="F25" s="1" t="str">
        <v>4</v>
      </c>
      <c r="G25" s="1" t="str">
        <f t="shared" si="0"/>
        <v>1LATC</v>
      </c>
      <c r="H25" t="str" cm="1">
        <f t="array" ref="H25">_xlfn.TEXTSPLIT(E25,"/")</f>
        <v>1LATC</v>
      </c>
    </row>
    <row r="26" spans="1:9" x14ac:dyDescent="0.3">
      <c r="A26" t="s">
        <v>28</v>
      </c>
      <c r="B26" t="str">
        <f>IF(COUNTIF(C26:I26,UI!B$2)=0,"/nope/",ROW(A26)-1)</f>
        <v>/nope/</v>
      </c>
      <c r="C26" s="1" t="str" cm="1">
        <f t="array" ref="C26:F26">IF(A26="","",_xlfn.TEXTSPLIT(A26,","))</f>
        <v>KE</v>
      </c>
      <c r="D26" s="1" t="str">
        <v>NED</v>
      </c>
      <c r="E26" s="1" t="str">
        <v>1LATD</v>
      </c>
      <c r="F26" s="1" t="str">
        <v>4</v>
      </c>
      <c r="G26" s="1" t="str">
        <f t="shared" si="0"/>
        <v>1LATD</v>
      </c>
      <c r="H26" t="str" cm="1">
        <f t="array" ref="H26">_xlfn.TEXTSPLIT(E26,"/")</f>
        <v>1LATD</v>
      </c>
    </row>
    <row r="27" spans="1:9" x14ac:dyDescent="0.3">
      <c r="A27" t="s">
        <v>29</v>
      </c>
      <c r="B27" t="str">
        <f>IF(COUNTIF(C27:I27,UI!B$2)=0,"/nope/",ROW(A27)-1)</f>
        <v>/nope/</v>
      </c>
      <c r="C27" s="1" t="str" cm="1">
        <f t="array" ref="C27:F27">IF(A27="","",_xlfn.TEXTSPLIT(A27,","))</f>
        <v>LR</v>
      </c>
      <c r="D27" s="1" t="str">
        <v>AARDR</v>
      </c>
      <c r="E27" s="1" t="str">
        <v>2LATB</v>
      </c>
      <c r="F27" s="1" t="str">
        <v>1</v>
      </c>
      <c r="G27" s="1" t="str">
        <f t="shared" si="0"/>
        <v>2LATB</v>
      </c>
      <c r="H27" t="str" cm="1">
        <f t="array" ref="H27">_xlfn.TEXTSPLIT(E27,"/")</f>
        <v>2LATB</v>
      </c>
    </row>
    <row r="28" spans="1:9" x14ac:dyDescent="0.3">
      <c r="A28" t="s">
        <v>30</v>
      </c>
      <c r="B28" t="str">
        <f>IF(COUNTIF(C28:I28,UI!B$2)=0,"/nope/",ROW(A28)-1)</f>
        <v>/nope/</v>
      </c>
      <c r="C28" s="1" t="str" cm="1">
        <f t="array" ref="C28:F28">IF(A28="","",_xlfn.TEXTSPLIT(A28,","))</f>
        <v>LR</v>
      </c>
      <c r="D28" s="1" t="str">
        <v>AARDR</v>
      </c>
      <c r="E28" s="1" t="str">
        <v>2GLAA/2LATA</v>
      </c>
      <c r="F28" s="1" t="str">
        <v>1</v>
      </c>
      <c r="G28" s="1" t="str">
        <f t="shared" si="0"/>
        <v/>
      </c>
      <c r="H28" t="str" cm="1">
        <f t="array" ref="H28:I28">_xlfn.TEXTSPLIT(E28,"/")</f>
        <v>2GLAA</v>
      </c>
      <c r="I28" t="str">
        <v>2LATA</v>
      </c>
    </row>
    <row r="29" spans="1:9" x14ac:dyDescent="0.3">
      <c r="A29" t="s">
        <v>31</v>
      </c>
      <c r="B29" t="str">
        <f>IF(COUNTIF(C29:I29,UI!B$2)=0,"/nope/",ROW(A29)-1)</f>
        <v>/nope/</v>
      </c>
      <c r="C29" s="1" t="str" cm="1">
        <f t="array" ref="C29:F29">IF(A29="","",_xlfn.TEXTSPLIT(A29,","))</f>
        <v>LR</v>
      </c>
      <c r="D29" s="1" t="str">
        <v>AARDR</v>
      </c>
      <c r="E29" s="1" t="str">
        <v>1LATE</v>
      </c>
      <c r="F29" s="1" t="str">
        <v>2</v>
      </c>
      <c r="G29" s="1" t="str">
        <f t="shared" si="0"/>
        <v>1LATE</v>
      </c>
      <c r="H29" t="str" cm="1">
        <f t="array" ref="H29">_xlfn.TEXTSPLIT(E29,"/")</f>
        <v>1LATE</v>
      </c>
    </row>
    <row r="30" spans="1:9" x14ac:dyDescent="0.3">
      <c r="A30" t="s">
        <v>32</v>
      </c>
      <c r="B30" t="str">
        <f>IF(COUNTIF(C30:I30,UI!B$2)=0,"/nope/",ROW(A30)-1)</f>
        <v>/nope/</v>
      </c>
      <c r="C30" s="1" t="str" cm="1">
        <f t="array" ref="C30:F30">IF(A30="","",_xlfn.TEXTSPLIT(A30,","))</f>
        <v>LR</v>
      </c>
      <c r="D30" s="1" t="str">
        <v>AARDR</v>
      </c>
      <c r="E30" s="1" t="str">
        <v>1LATD</v>
      </c>
      <c r="F30" s="1" t="str">
        <v>2</v>
      </c>
      <c r="G30" s="1" t="str">
        <f t="shared" si="0"/>
        <v>1LATD</v>
      </c>
      <c r="H30" t="str" cm="1">
        <f t="array" ref="H30">_xlfn.TEXTSPLIT(E30,"/")</f>
        <v>1LATD</v>
      </c>
    </row>
    <row r="31" spans="1:9" x14ac:dyDescent="0.3">
      <c r="A31" t="s">
        <v>33</v>
      </c>
      <c r="B31" t="str">
        <f>IF(COUNTIF(C31:I31,UI!B$2)=0,"/nope/",ROW(A31)-1)</f>
        <v>/nope/</v>
      </c>
      <c r="C31" s="1" t="str" cm="1">
        <f t="array" ref="C31:F31">IF(A31="","",_xlfn.TEXTSPLIT(A31,","))</f>
        <v>LR</v>
      </c>
      <c r="D31" s="1" t="str">
        <v>NWET</v>
      </c>
      <c r="E31" s="1" t="str">
        <v>2LATC</v>
      </c>
      <c r="F31" s="1" t="str">
        <v>1</v>
      </c>
      <c r="G31" s="1" t="str">
        <f t="shared" si="0"/>
        <v>2LATC</v>
      </c>
      <c r="H31" t="str" cm="1">
        <f t="array" ref="H31">_xlfn.TEXTSPLIT(E31,"/")</f>
        <v>2LATC</v>
      </c>
    </row>
    <row r="32" spans="1:9" x14ac:dyDescent="0.3">
      <c r="A32" t="s">
        <v>34</v>
      </c>
      <c r="B32" t="str">
        <f>IF(COUNTIF(C32:I32,UI!B$2)=0,"/nope/",ROW(A32)-1)</f>
        <v>/nope/</v>
      </c>
      <c r="C32" s="1" t="str" cm="1">
        <f t="array" ref="C32:F32">IF(A32="","",_xlfn.TEXTSPLIT(A32,","))</f>
        <v>LR</v>
      </c>
      <c r="D32" s="1" t="str">
        <v>NWET</v>
      </c>
      <c r="E32" s="1" t="str">
        <v>2LATD</v>
      </c>
      <c r="F32" s="1" t="str">
        <v>1</v>
      </c>
      <c r="G32" s="1" t="str">
        <f t="shared" si="0"/>
        <v>2LATD</v>
      </c>
      <c r="H32" t="str" cm="1">
        <f t="array" ref="H32">_xlfn.TEXTSPLIT(E32,"/")</f>
        <v>2LATD</v>
      </c>
    </row>
    <row r="33" spans="1:9" x14ac:dyDescent="0.3">
      <c r="A33" t="s">
        <v>35</v>
      </c>
      <c r="B33" t="str">
        <f>IF(COUNTIF(C33:I33,UI!B$2)=0,"/nope/",ROW(A33)-1)</f>
        <v>/nope/</v>
      </c>
      <c r="C33" s="1" t="str" cm="1">
        <f t="array" ref="C33:F33">IF(A33="","",_xlfn.TEXTSPLIT(A33,","))</f>
        <v>LR</v>
      </c>
      <c r="D33" s="1" t="str">
        <v>NWET</v>
      </c>
      <c r="E33" s="1" t="str">
        <v>2LATE</v>
      </c>
      <c r="F33" s="1" t="str">
        <v>1</v>
      </c>
      <c r="G33" s="1" t="str">
        <f t="shared" si="0"/>
        <v>2LATE</v>
      </c>
      <c r="H33" t="str" cm="1">
        <f t="array" ref="H33">_xlfn.TEXTSPLIT(E33,"/")</f>
        <v>2LATE</v>
      </c>
    </row>
    <row r="34" spans="1:9" x14ac:dyDescent="0.3">
      <c r="A34" t="s">
        <v>36</v>
      </c>
      <c r="B34" t="str">
        <f>IF(COUNTIF(C34:I34,UI!B$2)=0,"/nope/",ROW(A34)-1)</f>
        <v>/nope/</v>
      </c>
      <c r="C34" s="1" t="str" cm="1">
        <f t="array" ref="C34:F34">IF(A34="","",_xlfn.TEXTSPLIT(A34,","))</f>
        <v>MD</v>
      </c>
      <c r="D34" s="1" t="str">
        <v>AV</v>
      </c>
      <c r="E34" s="1" t="str">
        <v>2LATA</v>
      </c>
      <c r="F34" s="1" t="str">
        <v>2</v>
      </c>
      <c r="G34" s="1" t="str">
        <f t="shared" si="0"/>
        <v>2LATA</v>
      </c>
      <c r="H34" t="str" cm="1">
        <f t="array" ref="H34">_xlfn.TEXTSPLIT(E34,"/")</f>
        <v>2LATA</v>
      </c>
    </row>
    <row r="35" spans="1:9" x14ac:dyDescent="0.3">
      <c r="A35" t="s">
        <v>37</v>
      </c>
      <c r="B35" t="str">
        <f>IF(COUNTIF(C35:I35,UI!B$2)=0,"/nope/",ROW(A35)-1)</f>
        <v>/nope/</v>
      </c>
      <c r="C35" s="1" t="str" cm="1">
        <f t="array" ref="C35:F35">IF(A35="","",_xlfn.TEXTSPLIT(A35,","))</f>
        <v>MD</v>
      </c>
      <c r="D35" s="1" t="str">
        <v>AV</v>
      </c>
      <c r="E35" s="1" t="str">
        <v>2LATB</v>
      </c>
      <c r="F35" s="1" t="str">
        <v>2</v>
      </c>
      <c r="G35" s="1" t="str">
        <f t="shared" si="0"/>
        <v>2LATB</v>
      </c>
      <c r="H35" t="str" cm="1">
        <f t="array" ref="H35">_xlfn.TEXTSPLIT(E35,"/")</f>
        <v>2LATB</v>
      </c>
    </row>
    <row r="36" spans="1:9" x14ac:dyDescent="0.3">
      <c r="A36" t="s">
        <v>38</v>
      </c>
      <c r="B36" t="str">
        <f>IF(COUNTIF(C36:I36,UI!B$2)=0,"/nope/",ROW(A36)-1)</f>
        <v>/nope/</v>
      </c>
      <c r="C36" s="1" t="str" cm="1">
        <f t="array" ref="C36:F36">IF(A36="","",_xlfn.TEXTSPLIT(A36,","))</f>
        <v>MD</v>
      </c>
      <c r="D36" s="1" t="str">
        <v>AV</v>
      </c>
      <c r="E36" s="1" t="str">
        <v>2LATC</v>
      </c>
      <c r="F36" s="1" t="str">
        <v>2</v>
      </c>
      <c r="G36" s="1" t="str">
        <f t="shared" si="0"/>
        <v>2LATC</v>
      </c>
      <c r="H36" t="str" cm="1">
        <f t="array" ref="H36">_xlfn.TEXTSPLIT(E36,"/")</f>
        <v>2LATC</v>
      </c>
    </row>
    <row r="37" spans="1:9" x14ac:dyDescent="0.3">
      <c r="A37" t="s">
        <v>39</v>
      </c>
      <c r="B37" t="str">
        <f>IF(COUNTIF(C37:I37,UI!B$2)=0,"/nope/",ROW(A37)-1)</f>
        <v>/nope/</v>
      </c>
      <c r="C37" s="1" t="str" cm="1">
        <f t="array" ref="C37:F37">IF(A37="","",_xlfn.TEXTSPLIT(A37,","))</f>
        <v>MD</v>
      </c>
      <c r="D37" s="1" t="str">
        <v>AV</v>
      </c>
      <c r="E37" s="1" t="str">
        <v>2LATD</v>
      </c>
      <c r="F37" s="1" t="str">
        <v>2</v>
      </c>
      <c r="G37" s="1" t="str">
        <f t="shared" si="0"/>
        <v>2LATD</v>
      </c>
      <c r="H37" t="str" cm="1">
        <f t="array" ref="H37">_xlfn.TEXTSPLIT(E37,"/")</f>
        <v>2LATD</v>
      </c>
    </row>
    <row r="38" spans="1:9" x14ac:dyDescent="0.3">
      <c r="A38" t="s">
        <v>40</v>
      </c>
      <c r="B38" t="str">
        <f>IF(COUNTIF(C38:I38,UI!B$2)=0,"/nope/",ROW(A38)-1)</f>
        <v>/nope/</v>
      </c>
      <c r="C38" s="1" t="str" cm="1">
        <f t="array" ref="C38:F38">IF(A38="","",_xlfn.TEXTSPLIT(A38,","))</f>
        <v>MD</v>
      </c>
      <c r="D38" s="1" t="str">
        <v>AV</v>
      </c>
      <c r="E38" s="1" t="str">
        <v>2LATE</v>
      </c>
      <c r="F38" s="1" t="str">
        <v>2</v>
      </c>
      <c r="G38" s="1" t="str">
        <f t="shared" si="0"/>
        <v>2LATE</v>
      </c>
      <c r="H38" t="str" cm="1">
        <f t="array" ref="H38">_xlfn.TEXTSPLIT(E38,"/")</f>
        <v>2LATE</v>
      </c>
    </row>
    <row r="39" spans="1:9" x14ac:dyDescent="0.3">
      <c r="A39" t="s">
        <v>41</v>
      </c>
      <c r="B39">
        <f>IF(COUNTIF(C39:I39,UI!B$2)=0,"/nope/",ROW(A39)-1)</f>
        <v>38</v>
      </c>
      <c r="C39" s="1" t="str" cm="1">
        <f t="array" ref="C39:F39">IF(A39="","",_xlfn.TEXTSPLIT(A39,","))</f>
        <v>NEV</v>
      </c>
      <c r="D39" s="1" t="str">
        <v>NWET</v>
      </c>
      <c r="E39" s="1" t="str">
        <v>2LATB</v>
      </c>
      <c r="F39" s="1" t="str">
        <v>1</v>
      </c>
      <c r="G39" s="1" t="str">
        <f t="shared" si="0"/>
        <v>2LATB</v>
      </c>
      <c r="H39" t="str" cm="1">
        <f t="array" ref="H39">_xlfn.TEXTSPLIT(E39,"/")</f>
        <v>2LATB</v>
      </c>
    </row>
    <row r="40" spans="1:9" x14ac:dyDescent="0.3">
      <c r="A40" t="s">
        <v>42</v>
      </c>
      <c r="B40">
        <f>IF(COUNTIF(C40:I40,UI!B$2)=0,"/nope/",ROW(A40)-1)</f>
        <v>39</v>
      </c>
      <c r="C40" s="1" t="str" cm="1">
        <f t="array" ref="C40:F40">IF(A40="","",_xlfn.TEXTSPLIT(A40,","))</f>
        <v>NEV</v>
      </c>
      <c r="D40" s="1" t="str">
        <v>NWET</v>
      </c>
      <c r="E40" s="1" t="str">
        <v>1LATA</v>
      </c>
      <c r="F40" s="1" t="str">
        <v>2</v>
      </c>
      <c r="G40" s="1" t="str">
        <f t="shared" si="0"/>
        <v>1LATA</v>
      </c>
      <c r="H40" t="str" cm="1">
        <f t="array" ref="H40">_xlfn.TEXTSPLIT(E40,"/")</f>
        <v>1LATA</v>
      </c>
    </row>
    <row r="41" spans="1:9" x14ac:dyDescent="0.3">
      <c r="A41" t="s">
        <v>43</v>
      </c>
      <c r="B41">
        <f>IF(COUNTIF(C41:I41,UI!B$2)=0,"/nope/",ROW(A41)-1)</f>
        <v>40</v>
      </c>
      <c r="C41" s="1" t="str" cm="1">
        <f t="array" ref="C41:F41">IF(A41="","",_xlfn.TEXTSPLIT(A41,","))</f>
        <v>NEV</v>
      </c>
      <c r="D41" s="1" t="str">
        <v>NWET</v>
      </c>
      <c r="E41" s="1" t="str">
        <v>1LATB</v>
      </c>
      <c r="F41" s="1" t="str">
        <v>2</v>
      </c>
      <c r="G41" s="1" t="str">
        <f t="shared" si="0"/>
        <v>1LATB</v>
      </c>
      <c r="H41" t="str" cm="1">
        <f t="array" ref="H41">_xlfn.TEXTSPLIT(E41,"/")</f>
        <v>1LATB</v>
      </c>
    </row>
    <row r="42" spans="1:9" x14ac:dyDescent="0.3">
      <c r="A42" t="s">
        <v>44</v>
      </c>
      <c r="B42">
        <f>IF(COUNTIF(C42:I42,UI!B$2)=0,"/nope/",ROW(A42)-1)</f>
        <v>41</v>
      </c>
      <c r="C42" s="1" t="str" cm="1">
        <f t="array" ref="C42:F42">IF(A42="","",_xlfn.TEXTSPLIT(A42,","))</f>
        <v>NEV</v>
      </c>
      <c r="D42" s="1" t="str">
        <v>NWET</v>
      </c>
      <c r="E42" s="1" t="str">
        <v>1LATC</v>
      </c>
      <c r="F42" s="1" t="str">
        <v>2</v>
      </c>
      <c r="G42" s="1" t="str">
        <f t="shared" si="0"/>
        <v>1LATC</v>
      </c>
      <c r="H42" t="str" cm="1">
        <f t="array" ref="H42">_xlfn.TEXTSPLIT(E42,"/")</f>
        <v>1LATC</v>
      </c>
    </row>
    <row r="43" spans="1:9" x14ac:dyDescent="0.3">
      <c r="A43" t="s">
        <v>45</v>
      </c>
      <c r="B43">
        <f>IF(COUNTIF(C43:I43,UI!B$2)=0,"/nope/",ROW(A43)-1)</f>
        <v>42</v>
      </c>
      <c r="C43" s="1" t="str" cm="1">
        <f t="array" ref="C43:F43">IF(A43="","",_xlfn.TEXTSPLIT(A43,","))</f>
        <v>NEV</v>
      </c>
      <c r="D43" s="1" t="str">
        <v>NWET</v>
      </c>
      <c r="E43" s="1" t="str">
        <v>1LATD</v>
      </c>
      <c r="F43" s="1" t="str">
        <v>2</v>
      </c>
      <c r="G43" s="1" t="str">
        <f t="shared" si="0"/>
        <v>1LATD</v>
      </c>
      <c r="H43" t="str" cm="1">
        <f t="array" ref="H43">_xlfn.TEXTSPLIT(E43,"/")</f>
        <v>1LATD</v>
      </c>
    </row>
    <row r="44" spans="1:9" x14ac:dyDescent="0.3">
      <c r="A44" t="s">
        <v>46</v>
      </c>
      <c r="B44">
        <f>IF(COUNTIF(C44:I44,UI!B$2)=0,"/nope/",ROW(A44)-1)</f>
        <v>43</v>
      </c>
      <c r="C44" s="1" t="str" cm="1">
        <f t="array" ref="C44:F44">IF(A44="","",_xlfn.TEXTSPLIT(A44,","))</f>
        <v>NEV</v>
      </c>
      <c r="D44" s="1" t="str">
        <v>NWET</v>
      </c>
      <c r="E44" s="1" t="str">
        <v>1LATE</v>
      </c>
      <c r="F44" s="1" t="str">
        <v>2</v>
      </c>
      <c r="G44" s="1" t="str">
        <f t="shared" si="0"/>
        <v>1LATE</v>
      </c>
      <c r="H44" t="str" cm="1">
        <f t="array" ref="H44">_xlfn.TEXTSPLIT(E44,"/")</f>
        <v>1LATE</v>
      </c>
    </row>
    <row r="45" spans="1:9" x14ac:dyDescent="0.3">
      <c r="A45" t="s">
        <v>47</v>
      </c>
      <c r="B45">
        <f>IF(COUNTIF(C45:I45,UI!B$2)=0,"/nope/",ROW(A45)-1)</f>
        <v>44</v>
      </c>
      <c r="C45" s="1" t="str" cm="1">
        <f t="array" ref="C45:F45">IF(A45="","",_xlfn.TEXTSPLIT(A45,","))</f>
        <v>NEV</v>
      </c>
      <c r="D45" s="1" t="str">
        <v>NWET</v>
      </c>
      <c r="E45" s="1" t="str">
        <v>2GLAA/2LATA</v>
      </c>
      <c r="F45" s="1" t="str">
        <v>1</v>
      </c>
      <c r="G45" s="1" t="str">
        <f t="shared" si="0"/>
        <v/>
      </c>
      <c r="H45" t="str" cm="1">
        <f t="array" ref="H45:I45">_xlfn.TEXTSPLIT(E45,"/")</f>
        <v>2GLAA</v>
      </c>
      <c r="I45" t="str">
        <v>2LATA</v>
      </c>
    </row>
    <row r="46" spans="1:9" x14ac:dyDescent="0.3">
      <c r="A46" t="s">
        <v>48</v>
      </c>
      <c r="B46">
        <f>IF(COUNTIF(C46:I46,UI!B$2)=0,"/nope/",ROW(A46)-1)</f>
        <v>45</v>
      </c>
      <c r="C46" s="1" t="str" cm="1">
        <f t="array" ref="C46:F46">IF(A46="","",_xlfn.TEXTSPLIT(A46,","))</f>
        <v>NEV</v>
      </c>
      <c r="D46" s="1" t="str">
        <v>WIS</v>
      </c>
      <c r="E46" s="1" t="str">
        <v>2LATE</v>
      </c>
      <c r="F46" s="1" t="str">
        <v>5</v>
      </c>
      <c r="G46" s="1" t="str">
        <f t="shared" si="0"/>
        <v>2LATE</v>
      </c>
      <c r="H46" t="str" cm="1">
        <f t="array" ref="H46">_xlfn.TEXTSPLIT(E46,"/")</f>
        <v>2LATE</v>
      </c>
    </row>
    <row r="47" spans="1:9" x14ac:dyDescent="0.3">
      <c r="A47" t="s">
        <v>49</v>
      </c>
      <c r="B47" t="str">
        <f>IF(COUNTIF(C47:I47,UI!B$2)=0,"/nope/",ROW(A47)-1)</f>
        <v>/nope/</v>
      </c>
      <c r="C47" s="1" t="str" cm="1">
        <f t="array" ref="C47:F47">IF(A47="","",_xlfn.TEXTSPLIT(A47,","))</f>
        <v>PM</v>
      </c>
      <c r="D47" s="1" t="str">
        <v>GODSD</v>
      </c>
      <c r="E47" s="1" t="str">
        <v>2LATD</v>
      </c>
      <c r="F47" s="1" t="str">
        <v>2</v>
      </c>
      <c r="G47" s="1" t="str">
        <f t="shared" si="0"/>
        <v>2LATD</v>
      </c>
      <c r="H47" t="str" cm="1">
        <f t="array" ref="H47">_xlfn.TEXTSPLIT(E47,"/")</f>
        <v>2LATD</v>
      </c>
    </row>
    <row r="48" spans="1:9" x14ac:dyDescent="0.3">
      <c r="A48" t="s">
        <v>50</v>
      </c>
      <c r="B48" t="str">
        <f>IF(COUNTIF(C48:I48,UI!B$2)=0,"/nope/",ROW(A48)-1)</f>
        <v>/nope/</v>
      </c>
      <c r="C48" s="1" t="str" cm="1">
        <f t="array" ref="C48:F48">IF(A48="","",_xlfn.TEXTSPLIT(A48,","))</f>
        <v>PM</v>
      </c>
      <c r="D48" s="1" t="str">
        <v>GODSD</v>
      </c>
      <c r="E48" s="1" t="str">
        <v>2GLAA/2LATA</v>
      </c>
      <c r="F48" s="1" t="str">
        <v>2</v>
      </c>
      <c r="G48" s="1" t="str">
        <f t="shared" si="0"/>
        <v/>
      </c>
      <c r="H48" t="str" cm="1">
        <f t="array" ref="H48:I48">_xlfn.TEXTSPLIT(E48,"/")</f>
        <v>2GLAA</v>
      </c>
      <c r="I48" t="str">
        <v>2LATA</v>
      </c>
    </row>
    <row r="49" spans="1:9" x14ac:dyDescent="0.3">
      <c r="A49" t="s">
        <v>51</v>
      </c>
      <c r="B49" t="str">
        <f>IF(COUNTIF(C49:I49,UI!B$2)=0,"/nope/",ROW(A49)-1)</f>
        <v>/nope/</v>
      </c>
      <c r="C49" s="1" t="str" cm="1">
        <f t="array" ref="C49:F49">IF(A49="","",_xlfn.TEXTSPLIT(A49,","))</f>
        <v>PM</v>
      </c>
      <c r="D49" s="1" t="str">
        <v>GODSD</v>
      </c>
      <c r="E49" s="1" t="str">
        <v>2LATB</v>
      </c>
      <c r="F49" s="1" t="str">
        <v>2</v>
      </c>
      <c r="G49" s="1" t="str">
        <f t="shared" si="0"/>
        <v>2LATB</v>
      </c>
      <c r="H49" t="str" cm="1">
        <f t="array" ref="H49">_xlfn.TEXTSPLIT(E49,"/")</f>
        <v>2LATB</v>
      </c>
    </row>
    <row r="50" spans="1:9" x14ac:dyDescent="0.3">
      <c r="A50" t="s">
        <v>52</v>
      </c>
      <c r="B50" t="str">
        <f>IF(COUNTIF(C50:I50,UI!B$2)=0,"/nope/",ROW(A50)-1)</f>
        <v>/nope/</v>
      </c>
      <c r="C50" s="1" t="str" cm="1">
        <f t="array" ref="C50:F50">IF(A50="","",_xlfn.TEXTSPLIT(A50,","))</f>
        <v>PM</v>
      </c>
      <c r="D50" s="1" t="str">
        <v>GODSD</v>
      </c>
      <c r="E50" s="1" t="str">
        <v>2LATC</v>
      </c>
      <c r="F50" s="1" t="str">
        <v>2</v>
      </c>
      <c r="G50" s="1" t="str">
        <f t="shared" si="0"/>
        <v>2LATC</v>
      </c>
      <c r="H50" t="str" cm="1">
        <f t="array" ref="H50">_xlfn.TEXTSPLIT(E50,"/")</f>
        <v>2LATC</v>
      </c>
    </row>
    <row r="51" spans="1:9" x14ac:dyDescent="0.3">
      <c r="A51" t="s">
        <v>53</v>
      </c>
      <c r="B51" t="str">
        <f>IF(COUNTIF(C51:I51,UI!B$2)=0,"/nope/",ROW(A51)-1)</f>
        <v>/nope/</v>
      </c>
      <c r="C51" s="1" t="str" cm="1">
        <f t="array" ref="C51:F51">IF(A51="","",_xlfn.TEXTSPLIT(A51,","))</f>
        <v>PM</v>
      </c>
      <c r="D51" s="1" t="str">
        <v>GODSD</v>
      </c>
      <c r="E51" s="1" t="str">
        <v>2LATE</v>
      </c>
      <c r="F51" s="1" t="str">
        <v>2</v>
      </c>
      <c r="G51" s="1" t="str">
        <f t="shared" si="0"/>
        <v>2LATE</v>
      </c>
      <c r="H51" t="str" cm="1">
        <f t="array" ref="H51">_xlfn.TEXTSPLIT(E51,"/")</f>
        <v>2LATE</v>
      </c>
    </row>
    <row r="52" spans="1:9" x14ac:dyDescent="0.3">
      <c r="A52" t="s">
        <v>54</v>
      </c>
      <c r="B52" t="str">
        <f>IF(COUNTIF(C52:I52,UI!B$2)=0,"/nope/",ROW(A52)-1)</f>
        <v>/nope/</v>
      </c>
      <c r="C52" s="1" t="str" cm="1">
        <f t="array" ref="C52:F52">IF(A52="","",_xlfn.TEXTSPLIT(A52,","))</f>
        <v>SC</v>
      </c>
      <c r="D52" s="1" t="str">
        <v>LAT</v>
      </c>
      <c r="E52" s="1" t="str">
        <v>2GLAA/2LATA</v>
      </c>
      <c r="F52" s="1" t="str">
        <v>5</v>
      </c>
      <c r="G52" s="1" t="str">
        <f t="shared" si="0"/>
        <v/>
      </c>
      <c r="H52" t="str" cm="1">
        <f t="array" ref="H52:I52">_xlfn.TEXTSPLIT(E52,"/")</f>
        <v>2GLAA</v>
      </c>
      <c r="I52" t="str">
        <v>2LATA</v>
      </c>
    </row>
    <row r="53" spans="1:9" x14ac:dyDescent="0.3">
      <c r="A53" t="s">
        <v>55</v>
      </c>
      <c r="B53" t="str">
        <f>IF(COUNTIF(C53:I53,UI!B$2)=0,"/nope/",ROW(A53)-1)</f>
        <v>/nope/</v>
      </c>
      <c r="C53" s="1" t="str" cm="1">
        <f t="array" ref="C53:F53">IF(A53="","",_xlfn.TEXTSPLIT(A53,","))</f>
        <v>SC</v>
      </c>
      <c r="D53" s="1" t="str">
        <v>LAT</v>
      </c>
      <c r="E53" s="1" t="str">
        <v>2LATB</v>
      </c>
      <c r="F53" s="1" t="str">
        <v>5</v>
      </c>
      <c r="G53" s="1" t="str">
        <f t="shared" si="0"/>
        <v>2LATB</v>
      </c>
      <c r="H53" t="str" cm="1">
        <f t="array" ref="H53">_xlfn.TEXTSPLIT(E53,"/")</f>
        <v>2LATB</v>
      </c>
    </row>
    <row r="54" spans="1:9" x14ac:dyDescent="0.3">
      <c r="A54" t="s">
        <v>56</v>
      </c>
      <c r="B54" t="str">
        <f>IF(COUNTIF(C54:I54,UI!B$2)=0,"/nope/",ROW(A54)-1)</f>
        <v>/nope/</v>
      </c>
      <c r="C54" s="1" t="str" cm="1">
        <f t="array" ref="C54:F54">IF(A54="","",_xlfn.TEXTSPLIT(A54,","))</f>
        <v>SE</v>
      </c>
      <c r="D54" s="1" t="str">
        <v>WIS</v>
      </c>
      <c r="E54" s="1" t="str">
        <v>2GLAA/2LATA</v>
      </c>
      <c r="F54" s="1" t="str">
        <v>1</v>
      </c>
      <c r="G54" s="1" t="str">
        <f t="shared" si="0"/>
        <v/>
      </c>
      <c r="H54" t="str" cm="1">
        <f t="array" ref="H54:I54">_xlfn.TEXTSPLIT(E54,"/")</f>
        <v>2GLAA</v>
      </c>
      <c r="I54" t="str">
        <v>2LATA</v>
      </c>
    </row>
    <row r="55" spans="1:9" x14ac:dyDescent="0.3">
      <c r="A55" t="s">
        <v>57</v>
      </c>
      <c r="B55" t="str">
        <f>IF(COUNTIF(C55:I55,UI!B$2)=0,"/nope/",ROW(A55)-1)</f>
        <v>/nope/</v>
      </c>
      <c r="C55" s="1" t="str" cm="1">
        <f t="array" ref="C55:F55">IF(A55="","",_xlfn.TEXTSPLIT(A55,","))</f>
        <v>SE</v>
      </c>
      <c r="D55" s="1" t="str">
        <v>WIS</v>
      </c>
      <c r="E55" s="1" t="str">
        <v>2GLAA/2LATA</v>
      </c>
      <c r="F55" s="1" t="str">
        <v>4</v>
      </c>
      <c r="G55" s="1" t="str">
        <f t="shared" si="0"/>
        <v/>
      </c>
      <c r="H55" t="str" cm="1">
        <f t="array" ref="H55:I55">_xlfn.TEXTSPLIT(E55,"/")</f>
        <v>2GLAA</v>
      </c>
      <c r="I55" t="str">
        <v>2LATA</v>
      </c>
    </row>
    <row r="56" spans="1:9" x14ac:dyDescent="0.3">
      <c r="A56" t="s">
        <v>58</v>
      </c>
      <c r="B56" t="str">
        <f>IF(COUNTIF(C56:I56,UI!B$2)=0,"/nope/",ROW(A56)-1)</f>
        <v>/nope/</v>
      </c>
      <c r="C56" s="1" t="str" cm="1">
        <f t="array" ref="C56:F56">IF(A56="","",_xlfn.TEXTSPLIT(A56,","))</f>
        <v>SE</v>
      </c>
      <c r="D56" s="1" t="str">
        <v>WIS</v>
      </c>
      <c r="E56" s="1" t="str">
        <v>2LATB</v>
      </c>
      <c r="F56" s="1" t="str">
        <v>5</v>
      </c>
      <c r="G56" s="1" t="str">
        <f t="shared" si="0"/>
        <v>2LATB</v>
      </c>
      <c r="H56" t="str" cm="1">
        <f t="array" ref="H56">_xlfn.TEXTSPLIT(E56,"/")</f>
        <v>2LATB</v>
      </c>
    </row>
    <row r="57" spans="1:9" x14ac:dyDescent="0.3">
      <c r="A57" t="s">
        <v>59</v>
      </c>
      <c r="B57" t="str">
        <f>IF(COUNTIF(C57:I57,UI!B$2)=0,"/nope/",ROW(A57)-1)</f>
        <v>/nope/</v>
      </c>
      <c r="C57" s="1" t="str" cm="1">
        <f t="array" ref="C57:F57">IF(A57="","",_xlfn.TEXTSPLIT(A57,","))</f>
        <v>SE</v>
      </c>
      <c r="D57" s="1" t="str">
        <v>WIS</v>
      </c>
      <c r="E57" s="1" t="str">
        <v>1LATC</v>
      </c>
      <c r="F57" s="1" t="str">
        <v>5</v>
      </c>
      <c r="G57" s="1" t="str">
        <f t="shared" si="0"/>
        <v>1LATC</v>
      </c>
      <c r="H57" t="str" cm="1">
        <f t="array" ref="H57">_xlfn.TEXTSPLIT(E57,"/")</f>
        <v>1LATC</v>
      </c>
    </row>
    <row r="58" spans="1:9" x14ac:dyDescent="0.3">
      <c r="A58" t="s">
        <v>60</v>
      </c>
      <c r="B58" t="str">
        <f>IF(COUNTIF(C58:I58,UI!B$2)=0,"/nope/",ROW(A58)-1)</f>
        <v>/nope/</v>
      </c>
      <c r="C58" s="1" t="str" cm="1">
        <f t="array" ref="C58:F58">IF(A58="","",_xlfn.TEXTSPLIT(A58,","))</f>
        <v>SE</v>
      </c>
      <c r="D58" s="1" t="str">
        <v>WIS</v>
      </c>
      <c r="E58" s="1" t="str">
        <v>1LATD</v>
      </c>
      <c r="F58" s="1" t="str">
        <v>5</v>
      </c>
      <c r="G58" s="1" t="str">
        <f t="shared" si="0"/>
        <v>1LATD</v>
      </c>
      <c r="H58" t="str" cm="1">
        <f t="array" ref="H58">_xlfn.TEXTSPLIT(E58,"/")</f>
        <v>1LATD</v>
      </c>
    </row>
    <row r="59" spans="1:9" x14ac:dyDescent="0.3">
      <c r="A59" t="s">
        <v>61</v>
      </c>
      <c r="B59" t="str">
        <f>IF(COUNTIF(C59:I59,UI!B$2)=0,"/nope/",ROW(A59)-1)</f>
        <v>/nope/</v>
      </c>
      <c r="C59" s="1" t="str" cm="1">
        <f t="array" ref="C59:F59">IF(A59="","",_xlfn.TEXTSPLIT(A59,","))</f>
        <v>SK</v>
      </c>
      <c r="D59" s="1" t="str">
        <v>ENG</v>
      </c>
      <c r="E59" s="1" t="str">
        <v>2LATD</v>
      </c>
      <c r="F59" s="1" t="str">
        <v>2</v>
      </c>
      <c r="G59" s="1" t="str">
        <f t="shared" si="0"/>
        <v>2LATD</v>
      </c>
      <c r="H59" t="str" cm="1">
        <f t="array" ref="H59">_xlfn.TEXTSPLIT(E59,"/")</f>
        <v>2LATD</v>
      </c>
    </row>
    <row r="60" spans="1:9" x14ac:dyDescent="0.3">
      <c r="A60" t="s">
        <v>62</v>
      </c>
      <c r="B60" t="str">
        <f>IF(COUNTIF(C60:I60,UI!B$2)=0,"/nope/",ROW(A60)-1)</f>
        <v>/nope/</v>
      </c>
      <c r="C60" s="1" t="str" cm="1">
        <f t="array" ref="C60:F60">IF(A60="","",_xlfn.TEXTSPLIT(A60,","))</f>
        <v>SK</v>
      </c>
      <c r="D60" s="1" t="str">
        <v>ENG</v>
      </c>
      <c r="E60" s="1" t="str">
        <v>2GLAA/2LATA</v>
      </c>
      <c r="F60" s="1" t="str">
        <v>1</v>
      </c>
      <c r="G60" s="1" t="str">
        <f t="shared" si="0"/>
        <v/>
      </c>
      <c r="H60" t="str" cm="1">
        <f t="array" ref="H60:I60">_xlfn.TEXTSPLIT(E60,"/")</f>
        <v>2GLAA</v>
      </c>
      <c r="I60" t="str">
        <v>2LATA</v>
      </c>
    </row>
    <row r="61" spans="1:9" x14ac:dyDescent="0.3">
      <c r="A61" t="s">
        <v>63</v>
      </c>
      <c r="B61" t="str">
        <f>IF(COUNTIF(C61:I61,UI!B$2)=0,"/nope/",ROW(A61)-1)</f>
        <v>/nope/</v>
      </c>
      <c r="C61" s="1" t="str" cm="1">
        <f t="array" ref="C61:F61">IF(A61="","",_xlfn.TEXTSPLIT(A61,","))</f>
        <v>SK</v>
      </c>
      <c r="D61" s="1" t="str">
        <v>ENG</v>
      </c>
      <c r="E61" s="1" t="str">
        <v>2LATA/2GLAA</v>
      </c>
      <c r="F61" s="1" t="str">
        <v>1</v>
      </c>
      <c r="G61" s="1" t="str">
        <f t="shared" si="0"/>
        <v/>
      </c>
      <c r="H61" t="str" cm="1">
        <f t="array" ref="H61:I61">_xlfn.TEXTSPLIT(E61,"/")</f>
        <v>2LATA</v>
      </c>
      <c r="I61" t="str">
        <v>2GLAA</v>
      </c>
    </row>
    <row r="62" spans="1:9" x14ac:dyDescent="0.3">
      <c r="A62" t="s">
        <v>64</v>
      </c>
      <c r="B62" t="str">
        <f>IF(COUNTIF(C62:I62,UI!B$2)=0,"/nope/",ROW(A62)-1)</f>
        <v>/nope/</v>
      </c>
      <c r="C62" s="1" t="str" cm="1">
        <f t="array" ref="C62:F62">IF(A62="","",_xlfn.TEXTSPLIT(A62,","))</f>
        <v>SK</v>
      </c>
      <c r="D62" s="1" t="str">
        <v>ENG</v>
      </c>
      <c r="E62" s="1" t="str">
        <v>2LATB</v>
      </c>
      <c r="F62" s="1" t="str">
        <v>2</v>
      </c>
      <c r="G62" s="1" t="str">
        <f t="shared" si="0"/>
        <v>2LATB</v>
      </c>
      <c r="H62" t="str" cm="1">
        <f t="array" ref="H62">_xlfn.TEXTSPLIT(E62,"/")</f>
        <v>2LATB</v>
      </c>
    </row>
    <row r="63" spans="1:9" x14ac:dyDescent="0.3">
      <c r="A63" t="s">
        <v>65</v>
      </c>
      <c r="B63" t="str">
        <f>IF(COUNTIF(C63:I63,UI!B$2)=0,"/nope/",ROW(A63)-1)</f>
        <v>/nope/</v>
      </c>
      <c r="C63" s="1" t="str" cm="1">
        <f t="array" ref="C63:F63">IF(A63="","",_xlfn.TEXTSPLIT(A63,","))</f>
        <v>SK</v>
      </c>
      <c r="D63" s="1" t="str">
        <v>ENG</v>
      </c>
      <c r="E63" s="1" t="str">
        <v>2LATC</v>
      </c>
      <c r="F63" s="1" t="str">
        <v>2</v>
      </c>
      <c r="G63" s="1" t="str">
        <f t="shared" si="0"/>
        <v>2LATC</v>
      </c>
      <c r="H63" t="str" cm="1">
        <f t="array" ref="H63">_xlfn.TEXTSPLIT(E63,"/")</f>
        <v>2LATC</v>
      </c>
    </row>
    <row r="64" spans="1:9" x14ac:dyDescent="0.3">
      <c r="A64" t="s">
        <v>66</v>
      </c>
      <c r="B64" t="str">
        <f>IF(COUNTIF(C64:I64,UI!B$2)=0,"/nope/",ROW(A64)-1)</f>
        <v>/nope/</v>
      </c>
      <c r="C64" s="1" t="str" cm="1">
        <f t="array" ref="C64:F64">IF(A64="","",_xlfn.TEXTSPLIT(A64,","))</f>
        <v>SK</v>
      </c>
      <c r="D64" s="1" t="str">
        <v>ENG</v>
      </c>
      <c r="E64" s="1" t="str">
        <v>2LATE</v>
      </c>
      <c r="F64" s="1" t="str">
        <v>2</v>
      </c>
      <c r="G64" s="1" t="str">
        <f t="shared" si="0"/>
        <v>2LATE</v>
      </c>
      <c r="H64" t="str" cm="1">
        <f t="array" ref="H64">_xlfn.TEXTSPLIT(E64,"/")</f>
        <v>2LATE</v>
      </c>
    </row>
    <row r="65" spans="1:9" x14ac:dyDescent="0.3">
      <c r="A65" t="s">
        <v>67</v>
      </c>
      <c r="B65" t="str">
        <f>IF(COUNTIF(C65:I65,UI!B$2)=0,"/nope/",ROW(A65)-1)</f>
        <v>/nope/</v>
      </c>
      <c r="C65" s="1" t="str" cm="1">
        <f t="array" ref="C65:F65">IF(A65="","",_xlfn.TEXTSPLIT(A65,","))</f>
        <v>SK</v>
      </c>
      <c r="D65" s="1" t="str">
        <v>NED</v>
      </c>
      <c r="E65" s="1" t="str">
        <v>2LATC</v>
      </c>
      <c r="F65" s="1" t="str">
        <v>4</v>
      </c>
      <c r="G65" s="1" t="str">
        <f t="shared" si="0"/>
        <v>2LATC</v>
      </c>
      <c r="H65" t="str" cm="1">
        <f t="array" ref="H65">_xlfn.TEXTSPLIT(E65,"/")</f>
        <v>2LATC</v>
      </c>
    </row>
    <row r="66" spans="1:9" x14ac:dyDescent="0.3">
      <c r="A66" t="s">
        <v>68</v>
      </c>
      <c r="B66" t="str">
        <f>IF(COUNTIF(C66:I66,UI!B$2)=0,"/nope/",ROW(A66)-1)</f>
        <v>/nope/</v>
      </c>
      <c r="C66" s="1" t="str" cm="1">
        <f t="array" ref="C66:F66">IF(A66="","",_xlfn.TEXTSPLIT(A66,","))</f>
        <v>SN</v>
      </c>
      <c r="D66" s="1" t="str">
        <v>FRANS</v>
      </c>
      <c r="E66" s="1" t="str">
        <v>2LATD</v>
      </c>
      <c r="F66" s="1" t="str">
        <v>4</v>
      </c>
      <c r="G66" s="1" t="str">
        <f t="shared" ref="G66:G129" si="1">IF(E66="","",IF(I66="",E66,""))</f>
        <v>2LATD</v>
      </c>
      <c r="H66" t="str" cm="1">
        <f t="array" ref="H66">_xlfn.TEXTSPLIT(E66,"/")</f>
        <v>2LATD</v>
      </c>
    </row>
    <row r="67" spans="1:9" x14ac:dyDescent="0.3">
      <c r="A67" t="s">
        <v>69</v>
      </c>
      <c r="B67" t="str">
        <f>IF(COUNTIF(C67:I67,UI!B$2)=0,"/nope/",ROW(A67)-1)</f>
        <v>/nope/</v>
      </c>
      <c r="C67" s="1" t="str" cm="1">
        <f t="array" ref="C67:F67">IF(A67="","",_xlfn.TEXTSPLIT(A67,","))</f>
        <v>SN</v>
      </c>
      <c r="D67" s="1" t="str">
        <v>FRANS</v>
      </c>
      <c r="E67" s="1" t="str">
        <v>2GLAA/2LATA</v>
      </c>
      <c r="F67" s="1" t="str">
        <v>4</v>
      </c>
      <c r="G67" s="1" t="str">
        <f t="shared" si="1"/>
        <v/>
      </c>
      <c r="H67" t="str" cm="1">
        <f t="array" ref="H67:I67">_xlfn.TEXTSPLIT(E67,"/")</f>
        <v>2GLAA</v>
      </c>
      <c r="I67" t="str">
        <v>2LATA</v>
      </c>
    </row>
    <row r="68" spans="1:9" x14ac:dyDescent="0.3">
      <c r="A68" t="s">
        <v>70</v>
      </c>
      <c r="B68" t="str">
        <f>IF(COUNTIF(C68:I68,UI!B$2)=0,"/nope/",ROW(A68)-1)</f>
        <v>/nope/</v>
      </c>
      <c r="C68" s="1" t="str" cm="1">
        <f t="array" ref="C68:F68">IF(A68="","",_xlfn.TEXTSPLIT(A68,","))</f>
        <v>SN</v>
      </c>
      <c r="D68" s="1" t="str">
        <v>FRANS</v>
      </c>
      <c r="E68" s="1" t="str">
        <v>2LATC</v>
      </c>
      <c r="F68" s="1" t="str">
        <v>4</v>
      </c>
      <c r="G68" s="1" t="str">
        <f t="shared" si="1"/>
        <v>2LATC</v>
      </c>
      <c r="H68" t="str" cm="1">
        <f t="array" ref="H68">_xlfn.TEXTSPLIT(E68,"/")</f>
        <v>2LATC</v>
      </c>
    </row>
    <row r="69" spans="1:9" x14ac:dyDescent="0.3">
      <c r="A69" t="s">
        <v>71</v>
      </c>
      <c r="B69" t="str">
        <f>IF(COUNTIF(C69:I69,UI!B$2)=0,"/nope/",ROW(A69)-1)</f>
        <v>/nope/</v>
      </c>
      <c r="C69" s="1" t="str" cm="1">
        <f t="array" ref="C69:F69">IF(A69="","",_xlfn.TEXTSPLIT(A69,","))</f>
        <v>SN</v>
      </c>
      <c r="D69" s="1" t="str">
        <v>FRANS</v>
      </c>
      <c r="E69" s="1" t="str">
        <v>2LATE</v>
      </c>
      <c r="F69" s="1" t="str">
        <v>4</v>
      </c>
      <c r="G69" s="1" t="str">
        <f t="shared" si="1"/>
        <v>2LATE</v>
      </c>
      <c r="H69" t="str" cm="1">
        <f t="array" ref="H69">_xlfn.TEXTSPLIT(E69,"/")</f>
        <v>2LATE</v>
      </c>
    </row>
    <row r="70" spans="1:9" x14ac:dyDescent="0.3">
      <c r="A70" t="s">
        <v>72</v>
      </c>
      <c r="B70" t="str">
        <f>IF(COUNTIF(C70:I70,UI!B$2)=0,"/nope/",ROW(A70)-1)</f>
        <v>/nope/</v>
      </c>
      <c r="C70" s="1" t="str" cm="1">
        <f t="array" ref="C70:F70">IF(A70="","",_xlfn.TEXTSPLIT(A70,","))</f>
        <v>UK</v>
      </c>
      <c r="D70" s="1" t="str">
        <v>FRANS</v>
      </c>
      <c r="E70" s="1" t="str">
        <v>2LATB</v>
      </c>
      <c r="F70" s="1" t="str">
        <v>4</v>
      </c>
      <c r="G70" s="1" t="str">
        <f t="shared" si="1"/>
        <v>2LATB</v>
      </c>
      <c r="H70" t="str" cm="1">
        <f t="array" ref="H70">_xlfn.TEXTSPLIT(E70,"/")</f>
        <v>2LATB</v>
      </c>
    </row>
    <row r="71" spans="1:9" x14ac:dyDescent="0.3">
      <c r="A71" t="s">
        <v>73</v>
      </c>
      <c r="B71" t="str">
        <f>IF(COUNTIF(C71:I71,UI!B$2)=0,"/nope/",ROW(A71)-1)</f>
        <v>/nope/</v>
      </c>
      <c r="C71" s="1" t="str" cm="1">
        <f t="array" ref="C71:F71">IF(A71="","",_xlfn.TEXTSPLIT(A71,","))</f>
        <v>UK</v>
      </c>
      <c r="D71" s="1" t="str">
        <v>FRANS</v>
      </c>
      <c r="E71" s="1" t="str">
        <v>1LATB</v>
      </c>
      <c r="F71" s="1" t="str">
        <v>4</v>
      </c>
      <c r="G71" s="1" t="str">
        <f t="shared" si="1"/>
        <v>1LATB</v>
      </c>
      <c r="H71" t="str" cm="1">
        <f t="array" ref="H71">_xlfn.TEXTSPLIT(E71,"/")</f>
        <v>1LATB</v>
      </c>
    </row>
    <row r="72" spans="1:9" x14ac:dyDescent="0.3">
      <c r="A72" t="s">
        <v>74</v>
      </c>
      <c r="B72" t="str">
        <f>IF(COUNTIF(C72:I72,UI!B$2)=0,"/nope/",ROW(A72)-1)</f>
        <v>/nope/</v>
      </c>
      <c r="C72" s="1" t="str" cm="1">
        <f t="array" ref="C72:F72">IF(A72="","",_xlfn.TEXTSPLIT(A72,","))</f>
        <v>UK</v>
      </c>
      <c r="D72" s="1" t="str">
        <v>FRANS</v>
      </c>
      <c r="E72" s="1" t="str">
        <v>1LATE</v>
      </c>
      <c r="F72" s="1" t="str">
        <v>4</v>
      </c>
      <c r="G72" s="1" t="str">
        <f t="shared" si="1"/>
        <v>1LATE</v>
      </c>
      <c r="H72" t="str" cm="1">
        <f t="array" ref="H72">_xlfn.TEXTSPLIT(E72,"/")</f>
        <v>1LATE</v>
      </c>
    </row>
    <row r="73" spans="1:9" x14ac:dyDescent="0.3">
      <c r="A73" t="s">
        <v>75</v>
      </c>
      <c r="B73" t="str">
        <f>IF(COUNTIF(C73:I73,UI!B$2)=0,"/nope/",ROW(A73)-1)</f>
        <v>/nope/</v>
      </c>
      <c r="C73" s="1" t="str" cm="1">
        <f t="array" ref="C73:F73">IF(A73="","",_xlfn.TEXTSPLIT(A73,","))</f>
        <v>UK</v>
      </c>
      <c r="D73" s="1" t="str">
        <v>FRANS</v>
      </c>
      <c r="E73" s="1" t="str">
        <v>1LATC</v>
      </c>
      <c r="F73" s="1" t="str">
        <v>4</v>
      </c>
      <c r="G73" s="1" t="str">
        <f t="shared" si="1"/>
        <v>1LATC</v>
      </c>
      <c r="H73" t="str" cm="1">
        <f t="array" ref="H73">_xlfn.TEXTSPLIT(E73,"/")</f>
        <v>1LATC</v>
      </c>
    </row>
    <row r="74" spans="1:9" x14ac:dyDescent="0.3">
      <c r="A74" t="s">
        <v>76</v>
      </c>
      <c r="B74" t="str">
        <f>IF(COUNTIF(C74:I74,UI!B$2)=0,"/nope/",ROW(A74)-1)</f>
        <v>/nope/</v>
      </c>
      <c r="C74" s="1" t="str" cm="1">
        <f t="array" ref="C74:F74">IF(A74="","",_xlfn.TEXTSPLIT(A74,","))</f>
        <v>VBI</v>
      </c>
      <c r="D74" s="1" t="str">
        <v>LAT</v>
      </c>
      <c r="E74" s="1" t="str">
        <v>1LATA</v>
      </c>
      <c r="F74" s="1" t="str">
        <v>5</v>
      </c>
      <c r="G74" s="1" t="str">
        <f t="shared" si="1"/>
        <v>1LATA</v>
      </c>
      <c r="H74" t="str" cm="1">
        <f t="array" ref="H74">_xlfn.TEXTSPLIT(E74,"/")</f>
        <v>1LATA</v>
      </c>
    </row>
    <row r="75" spans="1:9" x14ac:dyDescent="0.3">
      <c r="A75" t="s">
        <v>77</v>
      </c>
      <c r="B75" t="str">
        <f>IF(COUNTIF(C75:I75,UI!B$2)=0,"/nope/",ROW(A75)-1)</f>
        <v>/nope/</v>
      </c>
      <c r="C75" s="1" t="str" cm="1">
        <f t="array" ref="C75:F75">IF(A75="","",_xlfn.TEXTSPLIT(A75,","))</f>
        <v>VBI</v>
      </c>
      <c r="D75" s="1" t="str">
        <v>LAT</v>
      </c>
      <c r="E75" s="1" t="str">
        <v>1LATC</v>
      </c>
      <c r="F75" s="1" t="str">
        <v>5</v>
      </c>
      <c r="G75" s="1" t="str">
        <f t="shared" si="1"/>
        <v>1LATC</v>
      </c>
      <c r="H75" t="str" cm="1">
        <f t="array" ref="H75">_xlfn.TEXTSPLIT(E75,"/")</f>
        <v>1LATC</v>
      </c>
    </row>
    <row r="76" spans="1:9" x14ac:dyDescent="0.3">
      <c r="A76" t="s">
        <v>78</v>
      </c>
      <c r="B76" t="str">
        <f>IF(COUNTIF(C76:I76,UI!B$2)=0,"/nope/",ROW(A76)-1)</f>
        <v>/nope/</v>
      </c>
      <c r="C76" s="1" t="str" cm="1">
        <f t="array" ref="C76:F76">IF(A76="","",_xlfn.TEXTSPLIT(A76,","))</f>
        <v>VBI</v>
      </c>
      <c r="D76" s="1" t="str">
        <v>LAT</v>
      </c>
      <c r="E76" s="1" t="str">
        <v>1LATD</v>
      </c>
      <c r="F76" s="1" t="str">
        <v>5</v>
      </c>
      <c r="G76" s="1" t="str">
        <f t="shared" si="1"/>
        <v>1LATD</v>
      </c>
      <c r="H76" t="str" cm="1">
        <f t="array" ref="H76">_xlfn.TEXTSPLIT(E76,"/")</f>
        <v>1LATD</v>
      </c>
    </row>
    <row r="77" spans="1:9" x14ac:dyDescent="0.3">
      <c r="A77" t="s">
        <v>79</v>
      </c>
      <c r="B77" t="str">
        <f>IF(COUNTIF(C77:I77,UI!B$2)=0,"/nope/",ROW(A77)-1)</f>
        <v>/nope/</v>
      </c>
      <c r="C77" s="1" t="str" cm="1">
        <f t="array" ref="C77:F77">IF(A77="","",_xlfn.TEXTSPLIT(A77,","))</f>
        <v>VCS</v>
      </c>
      <c r="D77" s="1" t="str">
        <v>AARDR</v>
      </c>
      <c r="E77" s="1" t="str">
        <v>1LATA</v>
      </c>
      <c r="F77" s="1" t="str">
        <v>2</v>
      </c>
      <c r="G77" s="1" t="str">
        <f t="shared" si="1"/>
        <v>1LATA</v>
      </c>
      <c r="H77" t="str" cm="1">
        <f t="array" ref="H77">_xlfn.TEXTSPLIT(E77,"/")</f>
        <v>1LATA</v>
      </c>
    </row>
    <row r="78" spans="1:9" x14ac:dyDescent="0.3">
      <c r="A78" t="s">
        <v>80</v>
      </c>
      <c r="B78" t="str">
        <f>IF(COUNTIF(C78:I78,UI!B$2)=0,"/nope/",ROW(A78)-1)</f>
        <v>/nope/</v>
      </c>
      <c r="C78" s="1" t="str" cm="1">
        <f t="array" ref="C78:F78">IF(A78="","",_xlfn.TEXTSPLIT(A78,","))</f>
        <v>VCS</v>
      </c>
      <c r="D78" s="1" t="str">
        <v>AARDR</v>
      </c>
      <c r="E78" s="1" t="str">
        <v>1LATB</v>
      </c>
      <c r="F78" s="1" t="str">
        <v>2</v>
      </c>
      <c r="G78" s="1" t="str">
        <f t="shared" si="1"/>
        <v>1LATB</v>
      </c>
      <c r="H78" t="str" cm="1">
        <f t="array" ref="H78">_xlfn.TEXTSPLIT(E78,"/")</f>
        <v>1LATB</v>
      </c>
    </row>
    <row r="79" spans="1:9" x14ac:dyDescent="0.3">
      <c r="A79" t="s">
        <v>81</v>
      </c>
      <c r="B79" t="str">
        <f>IF(COUNTIF(C79:I79,UI!B$2)=0,"/nope/",ROW(A79)-1)</f>
        <v>/nope/</v>
      </c>
      <c r="C79" s="1" t="str" cm="1">
        <f t="array" ref="C79:F79">IF(A79="","",_xlfn.TEXTSPLIT(A79,","))</f>
        <v>VCS</v>
      </c>
      <c r="D79" s="1" t="str">
        <v>AARDR</v>
      </c>
      <c r="E79" s="1" t="str">
        <v>2LATC</v>
      </c>
      <c r="F79" s="1" t="str">
        <v>1</v>
      </c>
      <c r="G79" s="1" t="str">
        <f t="shared" si="1"/>
        <v>2LATC</v>
      </c>
      <c r="H79" t="str" cm="1">
        <f t="array" ref="H79">_xlfn.TEXTSPLIT(E79,"/")</f>
        <v>2LATC</v>
      </c>
    </row>
    <row r="80" spans="1:9" x14ac:dyDescent="0.3">
      <c r="A80" t="s">
        <v>82</v>
      </c>
      <c r="B80" t="str">
        <f>IF(COUNTIF(C80:I80,UI!B$2)=0,"/nope/",ROW(A80)-1)</f>
        <v>/nope/</v>
      </c>
      <c r="C80" s="1" t="str" cm="1">
        <f t="array" ref="C80:F80">IF(A80="","",_xlfn.TEXTSPLIT(A80,","))</f>
        <v>VCS</v>
      </c>
      <c r="D80" s="1" t="str">
        <v>AARDR</v>
      </c>
      <c r="E80" s="1" t="str">
        <v>2LATE</v>
      </c>
      <c r="F80" s="1" t="str">
        <v>1</v>
      </c>
      <c r="G80" s="1" t="str">
        <f t="shared" si="1"/>
        <v>2LATE</v>
      </c>
      <c r="H80" t="str" cm="1">
        <f t="array" ref="H80">_xlfn.TEXTSPLIT(E80,"/")</f>
        <v>2LATE</v>
      </c>
    </row>
    <row r="81" spans="1:9" x14ac:dyDescent="0.3">
      <c r="A81" t="s">
        <v>83</v>
      </c>
      <c r="B81" t="str">
        <f>IF(COUNTIF(C81:I81,UI!B$2)=0,"/nope/",ROW(A81)-1)</f>
        <v>/nope/</v>
      </c>
      <c r="C81" s="1" t="str" cm="1">
        <f t="array" ref="C81:F81">IF(A81="","",_xlfn.TEXTSPLIT(A81,","))</f>
        <v>VCS</v>
      </c>
      <c r="D81" s="1" t="str">
        <v>AARDR</v>
      </c>
      <c r="E81" s="1" t="str">
        <v>2LATD</v>
      </c>
      <c r="F81" s="1" t="str">
        <v>1</v>
      </c>
      <c r="G81" s="1" t="str">
        <f t="shared" si="1"/>
        <v>2LATD</v>
      </c>
      <c r="H81" t="str" cm="1">
        <f t="array" ref="H81">_xlfn.TEXTSPLIT(E81,"/")</f>
        <v>2LATD</v>
      </c>
    </row>
    <row r="82" spans="1:9" x14ac:dyDescent="0.3">
      <c r="A82" t="s">
        <v>84</v>
      </c>
      <c r="B82" t="str">
        <f>IF(COUNTIF(C82:I82,UI!B$2)=0,"/nope/",ROW(A82)-1)</f>
        <v>/nope/</v>
      </c>
      <c r="C82" s="1" t="str" cm="1">
        <f t="array" ref="C82:F82">IF(A82="","",_xlfn.TEXTSPLIT(A82,","))</f>
        <v>VCS</v>
      </c>
      <c r="D82" s="1" t="str">
        <v>AARDR</v>
      </c>
      <c r="E82" s="1" t="str">
        <v>1LATC</v>
      </c>
      <c r="F82" s="1" t="str">
        <v>2</v>
      </c>
      <c r="G82" s="1" t="str">
        <f t="shared" si="1"/>
        <v>1LATC</v>
      </c>
      <c r="H82" t="str" cm="1">
        <f t="array" ref="H82">_xlfn.TEXTSPLIT(E82,"/")</f>
        <v>1LATC</v>
      </c>
    </row>
    <row r="83" spans="1:9" x14ac:dyDescent="0.3">
      <c r="A83" t="s">
        <v>85</v>
      </c>
      <c r="B83" t="str">
        <f>IF(COUNTIF(C83:I83,UI!B$2)=0,"/nope/",ROW(A83)-1)</f>
        <v>/nope/</v>
      </c>
      <c r="C83" s="1" t="str" cm="1">
        <f t="array" ref="C83:F83">IF(A83="","",_xlfn.TEXTSPLIT(A83,","))</f>
        <v>VCS</v>
      </c>
      <c r="D83" s="1" t="str">
        <v>AV</v>
      </c>
      <c r="E83" s="1" t="str">
        <v>1LATA</v>
      </c>
      <c r="F83" s="1" t="str">
        <v>2</v>
      </c>
      <c r="G83" s="1" t="str">
        <f t="shared" si="1"/>
        <v>1LATA</v>
      </c>
      <c r="H83" t="str" cm="1">
        <f t="array" ref="H83">_xlfn.TEXTSPLIT(E83,"/")</f>
        <v>1LATA</v>
      </c>
    </row>
    <row r="84" spans="1:9" x14ac:dyDescent="0.3">
      <c r="A84" t="s">
        <v>86</v>
      </c>
      <c r="B84" t="str">
        <f>IF(COUNTIF(C84:I84,UI!B$2)=0,"/nope/",ROW(A84)-1)</f>
        <v>/nope/</v>
      </c>
      <c r="C84" s="1" t="str" cm="1">
        <f t="array" ref="C84:F84">IF(A84="","",_xlfn.TEXTSPLIT(A84,","))</f>
        <v>VCS</v>
      </c>
      <c r="D84" s="1" t="str">
        <v>AV</v>
      </c>
      <c r="E84" s="1" t="str">
        <v>1LATB</v>
      </c>
      <c r="F84" s="1" t="str">
        <v>2</v>
      </c>
      <c r="G84" s="1" t="str">
        <f t="shared" si="1"/>
        <v>1LATB</v>
      </c>
      <c r="H84" t="str" cm="1">
        <f t="array" ref="H84">_xlfn.TEXTSPLIT(E84,"/")</f>
        <v>1LATB</v>
      </c>
    </row>
    <row r="85" spans="1:9" x14ac:dyDescent="0.3">
      <c r="A85" t="s">
        <v>87</v>
      </c>
      <c r="B85" t="str">
        <f>IF(COUNTIF(C85:I85,UI!B$2)=0,"/nope/",ROW(A85)-1)</f>
        <v>/nope/</v>
      </c>
      <c r="C85" s="1" t="str" cm="1">
        <f t="array" ref="C85:F85">IF(A85="","",_xlfn.TEXTSPLIT(A85,","))</f>
        <v>VCS</v>
      </c>
      <c r="D85" s="1" t="str">
        <v>AV</v>
      </c>
      <c r="E85" s="1" t="str">
        <v>1LATC</v>
      </c>
      <c r="F85" s="1" t="str">
        <v>2</v>
      </c>
      <c r="G85" s="1" t="str">
        <f t="shared" si="1"/>
        <v>1LATC</v>
      </c>
      <c r="H85" t="str" cm="1">
        <f t="array" ref="H85">_xlfn.TEXTSPLIT(E85,"/")</f>
        <v>1LATC</v>
      </c>
    </row>
    <row r="86" spans="1:9" x14ac:dyDescent="0.3">
      <c r="A86" t="s">
        <v>88</v>
      </c>
      <c r="B86" t="str">
        <f>IF(COUNTIF(C86:I86,UI!B$2)=0,"/nope/",ROW(A86)-1)</f>
        <v>/nope/</v>
      </c>
      <c r="C86" s="1" t="str" cm="1">
        <f t="array" ref="C86:F86">IF(A86="","",_xlfn.TEXTSPLIT(A86,","))</f>
        <v>VCS</v>
      </c>
      <c r="D86" s="1" t="str">
        <v>AV</v>
      </c>
      <c r="E86" s="1" t="str">
        <v>1LATD</v>
      </c>
      <c r="F86" s="1" t="str">
        <v>2</v>
      </c>
      <c r="G86" s="1" t="str">
        <f t="shared" si="1"/>
        <v>1LATD</v>
      </c>
      <c r="H86" t="str" cm="1">
        <f t="array" ref="H86">_xlfn.TEXTSPLIT(E86,"/")</f>
        <v>1LATD</v>
      </c>
    </row>
    <row r="87" spans="1:9" x14ac:dyDescent="0.3">
      <c r="A87" t="s">
        <v>89</v>
      </c>
      <c r="B87" t="str">
        <f>IF(COUNTIF(C87:I87,UI!B$2)=0,"/nope/",ROW(A87)-1)</f>
        <v>/nope/</v>
      </c>
      <c r="C87" s="1" t="str" cm="1">
        <f t="array" ref="C87:F87">IF(A87="","",_xlfn.TEXTSPLIT(A87,","))</f>
        <v>VCS</v>
      </c>
      <c r="D87" s="1" t="str">
        <v>AV</v>
      </c>
      <c r="E87" s="1" t="str">
        <v>1LATE</v>
      </c>
      <c r="F87" s="1" t="str">
        <v>2</v>
      </c>
      <c r="G87" s="1" t="str">
        <f t="shared" si="1"/>
        <v>1LATE</v>
      </c>
      <c r="H87" t="str" cm="1">
        <f t="array" ref="H87">_xlfn.TEXTSPLIT(E87,"/")</f>
        <v>1LATE</v>
      </c>
    </row>
    <row r="88" spans="1:9" x14ac:dyDescent="0.3">
      <c r="A88" t="s">
        <v>90</v>
      </c>
      <c r="B88" t="str">
        <f>IF(COUNTIF(C88:I88,UI!B$2)=0,"/nope/",ROW(A88)-1)</f>
        <v>/nope/</v>
      </c>
      <c r="C88" s="1" t="str" cm="1">
        <f t="array" ref="C88:F88">IF(A88="","",_xlfn.TEXTSPLIT(A88,","))</f>
        <v>VDA</v>
      </c>
      <c r="D88" s="1" t="str">
        <v>WIS</v>
      </c>
      <c r="E88" s="1" t="str">
        <v>1LATA</v>
      </c>
      <c r="F88" s="1" t="str">
        <v>5</v>
      </c>
      <c r="G88" s="1" t="str">
        <f t="shared" si="1"/>
        <v>1LATA</v>
      </c>
      <c r="H88" t="str" cm="1">
        <f t="array" ref="H88">_xlfn.TEXTSPLIT(E88,"/")</f>
        <v>1LATA</v>
      </c>
    </row>
    <row r="89" spans="1:9" x14ac:dyDescent="0.3">
      <c r="A89" t="s">
        <v>91</v>
      </c>
      <c r="B89" t="str">
        <f>IF(COUNTIF(C89:I89,UI!B$2)=0,"/nope/",ROW(A89)-1)</f>
        <v>/nope/</v>
      </c>
      <c r="C89" s="1" t="str" cm="1">
        <f t="array" ref="C89:F89">IF(A89="","",_xlfn.TEXTSPLIT(A89,","))</f>
        <v>VDA</v>
      </c>
      <c r="D89" s="1" t="str">
        <v>WIS</v>
      </c>
      <c r="E89" s="1" t="str">
        <v>1LATB</v>
      </c>
      <c r="F89" s="1" t="str">
        <v>5</v>
      </c>
      <c r="G89" s="1" t="str">
        <f t="shared" si="1"/>
        <v>1LATB</v>
      </c>
      <c r="H89" t="str" cm="1">
        <f t="array" ref="H89">_xlfn.TEXTSPLIT(E89,"/")</f>
        <v>1LATB</v>
      </c>
    </row>
    <row r="90" spans="1:9" x14ac:dyDescent="0.3">
      <c r="A90" t="s">
        <v>92</v>
      </c>
      <c r="B90" t="str">
        <f>IF(COUNTIF(C90:I90,UI!B$2)=0,"/nope/",ROW(A90)-1)</f>
        <v>/nope/</v>
      </c>
      <c r="C90" s="1" t="str" cm="1">
        <f t="array" ref="C90:F90">IF(A90="","",_xlfn.TEXTSPLIT(A90,","))</f>
        <v>VDA</v>
      </c>
      <c r="D90" s="1" t="str">
        <v>WIS</v>
      </c>
      <c r="E90" s="1" t="str">
        <v>1LATE</v>
      </c>
      <c r="F90" s="1" t="str">
        <v>5</v>
      </c>
      <c r="G90" s="1" t="str">
        <f t="shared" si="1"/>
        <v>1LATE</v>
      </c>
      <c r="H90" t="str" cm="1">
        <f t="array" ref="H90">_xlfn.TEXTSPLIT(E90,"/")</f>
        <v>1LATE</v>
      </c>
    </row>
    <row r="91" spans="1:9" x14ac:dyDescent="0.3">
      <c r="A91" t="s">
        <v>93</v>
      </c>
      <c r="B91" t="str">
        <f>IF(COUNTIF(C91:I91,UI!B$2)=0,"/nope/",ROW(A91)-1)</f>
        <v>/nope/</v>
      </c>
      <c r="C91" s="1" t="str" cm="1">
        <f t="array" ref="C91:F91">IF(A91="","",_xlfn.TEXTSPLIT(A91,","))</f>
        <v>VDMB</v>
      </c>
      <c r="D91" s="1" t="str">
        <v>GESCH</v>
      </c>
      <c r="E91" s="1" t="str">
        <v>2LATD</v>
      </c>
      <c r="F91" s="1" t="str">
        <v>2</v>
      </c>
      <c r="G91" s="1" t="str">
        <f t="shared" si="1"/>
        <v>2LATD</v>
      </c>
      <c r="H91" t="str" cm="1">
        <f t="array" ref="H91">_xlfn.TEXTSPLIT(E91,"/")</f>
        <v>2LATD</v>
      </c>
    </row>
    <row r="92" spans="1:9" x14ac:dyDescent="0.3">
      <c r="A92" t="s">
        <v>94</v>
      </c>
      <c r="B92" t="str">
        <f>IF(COUNTIF(C92:I92,UI!B$2)=0,"/nope/",ROW(A92)-1)</f>
        <v>/nope/</v>
      </c>
      <c r="C92" s="1" t="str" cm="1">
        <f t="array" ref="C92:F92">IF(A92="","",_xlfn.TEXTSPLIT(A92,","))</f>
        <v>VDMB</v>
      </c>
      <c r="D92" s="1" t="str">
        <v>GESCH</v>
      </c>
      <c r="E92" s="1" t="str">
        <v>2GLAA/2LATA</v>
      </c>
      <c r="F92" s="1" t="str">
        <v>2</v>
      </c>
      <c r="G92" s="1" t="str">
        <f t="shared" si="1"/>
        <v/>
      </c>
      <c r="H92" t="str" cm="1">
        <f t="array" ref="H92:I92">_xlfn.TEXTSPLIT(E92,"/")</f>
        <v>2GLAA</v>
      </c>
      <c r="I92" t="str">
        <v>2LATA</v>
      </c>
    </row>
    <row r="93" spans="1:9" x14ac:dyDescent="0.3">
      <c r="A93" t="s">
        <v>95</v>
      </c>
      <c r="B93" t="str">
        <f>IF(COUNTIF(C93:I93,UI!B$2)=0,"/nope/",ROW(A93)-1)</f>
        <v>/nope/</v>
      </c>
      <c r="C93" s="1" t="str" cm="1">
        <f t="array" ref="C93:F93">IF(A93="","",_xlfn.TEXTSPLIT(A93,","))</f>
        <v>VDMB</v>
      </c>
      <c r="D93" s="1" t="str">
        <v>GESCH</v>
      </c>
      <c r="E93" s="1" t="str">
        <v>2LATB</v>
      </c>
      <c r="F93" s="1" t="str">
        <v>2</v>
      </c>
      <c r="G93" s="1" t="str">
        <f t="shared" si="1"/>
        <v>2LATB</v>
      </c>
      <c r="H93" t="str" cm="1">
        <f t="array" ref="H93">_xlfn.TEXTSPLIT(E93,"/")</f>
        <v>2LATB</v>
      </c>
    </row>
    <row r="94" spans="1:9" x14ac:dyDescent="0.3">
      <c r="A94" t="s">
        <v>96</v>
      </c>
      <c r="B94" t="str">
        <f>IF(COUNTIF(C94:I94,UI!B$2)=0,"/nope/",ROW(A94)-1)</f>
        <v>/nope/</v>
      </c>
      <c r="C94" s="1" t="str" cm="1">
        <f t="array" ref="C94:F94">IF(A94="","",_xlfn.TEXTSPLIT(A94,","))</f>
        <v>VDMB</v>
      </c>
      <c r="D94" s="1" t="str">
        <v>GESCH</v>
      </c>
      <c r="E94" s="1" t="str">
        <v>2LATC</v>
      </c>
      <c r="F94" s="1" t="str">
        <v>2</v>
      </c>
      <c r="G94" s="1" t="str">
        <f t="shared" si="1"/>
        <v>2LATC</v>
      </c>
      <c r="H94" t="str" cm="1">
        <f t="array" ref="H94">_xlfn.TEXTSPLIT(E94,"/")</f>
        <v>2LATC</v>
      </c>
    </row>
    <row r="95" spans="1:9" x14ac:dyDescent="0.3">
      <c r="A95" t="s">
        <v>97</v>
      </c>
      <c r="B95" t="str">
        <f>IF(COUNTIF(C95:I95,UI!B$2)=0,"/nope/",ROW(A95)-1)</f>
        <v>/nope/</v>
      </c>
      <c r="C95" s="1" t="str" cm="1">
        <f t="array" ref="C95:F95">IF(A95="","",_xlfn.TEXTSPLIT(A95,","))</f>
        <v>VDMB</v>
      </c>
      <c r="D95" s="1" t="str">
        <v>GESCH</v>
      </c>
      <c r="E95" s="1" t="str">
        <v>2LATE</v>
      </c>
      <c r="F95" s="1" t="str">
        <v>2</v>
      </c>
      <c r="G95" s="1" t="str">
        <f t="shared" si="1"/>
        <v>2LATE</v>
      </c>
      <c r="H95" t="str" cm="1">
        <f t="array" ref="H95">_xlfn.TEXTSPLIT(E95,"/")</f>
        <v>2LATE</v>
      </c>
    </row>
    <row r="96" spans="1:9" x14ac:dyDescent="0.3">
      <c r="A96" t="s">
        <v>98</v>
      </c>
      <c r="B96" t="str">
        <f>IF(COUNTIF(C96:I96,UI!B$2)=0,"/nope/",ROW(A96)-1)</f>
        <v>/nope/</v>
      </c>
      <c r="C96" s="1" t="str" cm="1">
        <f t="array" ref="C96:F96">IF(A96="","",_xlfn.TEXTSPLIT(A96,","))</f>
        <v>VHE</v>
      </c>
      <c r="D96" s="1" t="str">
        <v>FRANS</v>
      </c>
      <c r="E96" s="1" t="str">
        <v>1LATA</v>
      </c>
      <c r="F96" s="1" t="str">
        <v>4</v>
      </c>
      <c r="G96" s="1" t="str">
        <f t="shared" si="1"/>
        <v>1LATA</v>
      </c>
      <c r="H96" t="str" cm="1">
        <f t="array" ref="H96">_xlfn.TEXTSPLIT(E96,"/")</f>
        <v>1LATA</v>
      </c>
    </row>
    <row r="97" spans="1:8" x14ac:dyDescent="0.3">
      <c r="A97" t="s">
        <v>99</v>
      </c>
      <c r="B97" t="str">
        <f>IF(COUNTIF(C97:I97,UI!B$2)=0,"/nope/",ROW(A97)-1)</f>
        <v>/nope/</v>
      </c>
      <c r="C97" s="1" t="str" cm="1">
        <f t="array" ref="C97:F97">IF(A97="","",_xlfn.TEXTSPLIT(A97,","))</f>
        <v>VHE</v>
      </c>
      <c r="D97" s="1" t="str">
        <v>FRANS</v>
      </c>
      <c r="E97" s="1" t="str">
        <v>1LATD</v>
      </c>
      <c r="F97" s="1" t="str">
        <v>4</v>
      </c>
      <c r="G97" s="1" t="str">
        <f t="shared" si="1"/>
        <v>1LATD</v>
      </c>
      <c r="H97" t="str" cm="1">
        <f t="array" ref="H97">_xlfn.TEXTSPLIT(E97,"/")</f>
        <v>1LATD</v>
      </c>
    </row>
    <row r="98" spans="1:8" x14ac:dyDescent="0.3">
      <c r="A98" t="s">
        <v>100</v>
      </c>
      <c r="B98" t="str">
        <f>IF(COUNTIF(C98:I98,UI!B$2)=0,"/nope/",ROW(A98)-1)</f>
        <v>/nope/</v>
      </c>
      <c r="C98" s="1" t="str" cm="1">
        <f t="array" ref="C98:F98">IF(A98="","",_xlfn.TEXTSPLIT(A98,","))</f>
        <v>VHE</v>
      </c>
      <c r="D98" s="1" t="str">
        <v>WIS</v>
      </c>
      <c r="E98" s="1" t="str">
        <v>2LATD</v>
      </c>
      <c r="F98" s="1" t="str">
        <v>5</v>
      </c>
      <c r="G98" s="1" t="str">
        <f t="shared" si="1"/>
        <v>2LATD</v>
      </c>
      <c r="H98" t="str" cm="1">
        <f t="array" ref="H98">_xlfn.TEXTSPLIT(E98,"/")</f>
        <v>2LATD</v>
      </c>
    </row>
    <row r="99" spans="1:8" x14ac:dyDescent="0.3">
      <c r="A99" t="s">
        <v>101</v>
      </c>
      <c r="B99" t="str">
        <f>IF(COUNTIF(C99:I99,UI!B$2)=0,"/nope/",ROW(A99)-1)</f>
        <v>/nope/</v>
      </c>
      <c r="C99" s="1" t="str" cm="1">
        <f t="array" ref="C99:F99">IF(A99="","",_xlfn.TEXTSPLIT(A99,","))</f>
        <v>VHE</v>
      </c>
      <c r="D99" s="1" t="str">
        <v>WIS</v>
      </c>
      <c r="E99" s="1" t="str">
        <v>2LATC</v>
      </c>
      <c r="F99" s="1" t="str">
        <v>5</v>
      </c>
      <c r="G99" s="1" t="str">
        <f t="shared" si="1"/>
        <v>2LATC</v>
      </c>
      <c r="H99" t="str" cm="1">
        <f t="array" ref="H99">_xlfn.TEXTSPLIT(E99,"/")</f>
        <v>2LATC</v>
      </c>
    </row>
    <row r="100" spans="1:8" x14ac:dyDescent="0.3">
      <c r="A100" t="s">
        <v>102</v>
      </c>
      <c r="B100" t="str">
        <f>IF(COUNTIF(C100:I100,UI!B$2)=0,"/nope/",ROW(A100)-1)</f>
        <v>/nope/</v>
      </c>
      <c r="C100" s="1" t="str" cm="1">
        <f t="array" ref="C100:F100">IF(A100="","",_xlfn.TEXTSPLIT(A100,","))</f>
        <v>VHUE</v>
      </c>
      <c r="D100" s="1" t="str">
        <v>GRI</v>
      </c>
      <c r="E100" s="1" t="str">
        <v>2GLAA</v>
      </c>
      <c r="F100" s="1" t="str">
        <v>2</v>
      </c>
      <c r="G100" s="1" t="str">
        <f t="shared" si="1"/>
        <v>2GLAA</v>
      </c>
      <c r="H100" t="str" cm="1">
        <f t="array" ref="H100">_xlfn.TEXTSPLIT(E100,"/")</f>
        <v>2GLAA</v>
      </c>
    </row>
    <row r="101" spans="1:8" x14ac:dyDescent="0.3">
      <c r="A101" t="s">
        <v>103</v>
      </c>
      <c r="B101" t="str">
        <f>IF(COUNTIF(C101:I101,UI!B$2)=0,"/nope/",ROW(A101)-1)</f>
        <v>/nope/</v>
      </c>
      <c r="C101" s="1" t="str" cm="1">
        <f t="array" ref="C101:F101">IF(A101="","",_xlfn.TEXTSPLIT(A101,","))</f>
        <v>VHUE</v>
      </c>
      <c r="D101" s="1" t="str">
        <v>LAT</v>
      </c>
      <c r="E101" s="1" t="str">
        <v>2LATD</v>
      </c>
      <c r="F101" s="1" t="str">
        <v>5</v>
      </c>
      <c r="G101" s="1" t="str">
        <f t="shared" si="1"/>
        <v>2LATD</v>
      </c>
      <c r="H101" t="str" cm="1">
        <f t="array" ref="H101">_xlfn.TEXTSPLIT(E101,"/")</f>
        <v>2LATD</v>
      </c>
    </row>
    <row r="102" spans="1:8" x14ac:dyDescent="0.3">
      <c r="A102" t="s">
        <v>104</v>
      </c>
      <c r="B102" t="str">
        <f>IF(COUNTIF(C102:I102,UI!B$2)=0,"/nope/",ROW(A102)-1)</f>
        <v>/nope/</v>
      </c>
      <c r="C102" s="1" t="str" cm="1">
        <f t="array" ref="C102:F102">IF(A102="","",_xlfn.TEXTSPLIT(A102,","))</f>
        <v>VHUE</v>
      </c>
      <c r="D102" s="1" t="str">
        <v>LAT</v>
      </c>
      <c r="E102" s="1" t="str">
        <v>2LATC</v>
      </c>
      <c r="F102" s="1" t="str">
        <v>5</v>
      </c>
      <c r="G102" s="1" t="str">
        <f t="shared" si="1"/>
        <v>2LATC</v>
      </c>
      <c r="H102" t="str" cm="1">
        <f t="array" ref="H102">_xlfn.TEXTSPLIT(E102,"/")</f>
        <v>2LATC</v>
      </c>
    </row>
    <row r="103" spans="1:8" x14ac:dyDescent="0.3">
      <c r="A103" t="s">
        <v>105</v>
      </c>
      <c r="B103" t="str">
        <f>IF(COUNTIF(C103:I103,UI!B$2)=0,"/nope/",ROW(A103)-1)</f>
        <v>/nope/</v>
      </c>
      <c r="C103" s="1" t="str" cm="1">
        <f t="array" ref="C103:F103">IF(A103="","",_xlfn.TEXTSPLIT(A103,","))</f>
        <v>VHUE</v>
      </c>
      <c r="D103" s="1" t="str">
        <v>LAT</v>
      </c>
      <c r="E103" s="1" t="str">
        <v>2LATE</v>
      </c>
      <c r="F103" s="1" t="str">
        <v>5</v>
      </c>
      <c r="G103" s="1" t="str">
        <f t="shared" si="1"/>
        <v>2LATE</v>
      </c>
      <c r="H103" t="str" cm="1">
        <f t="array" ref="H103">_xlfn.TEXTSPLIT(E103,"/")</f>
        <v>2LATE</v>
      </c>
    </row>
    <row r="104" spans="1:8" x14ac:dyDescent="0.3">
      <c r="A104" t="s">
        <v>106</v>
      </c>
      <c r="B104" t="str">
        <f>IF(COUNTIF(C104:I104,UI!B$2)=0,"/nope/",ROW(A104)-1)</f>
        <v>/nope/</v>
      </c>
      <c r="C104" s="1" t="str" cm="1">
        <f t="array" ref="C104:F104">IF(A104="","",_xlfn.TEXTSPLIT(A104,","))</f>
        <v>VM</v>
      </c>
      <c r="D104" s="1" t="str">
        <v>ENG</v>
      </c>
      <c r="E104" s="1" t="str">
        <v>1LATA</v>
      </c>
      <c r="F104" s="1" t="str">
        <v>1</v>
      </c>
      <c r="G104" s="1" t="str">
        <f t="shared" si="1"/>
        <v>1LATA</v>
      </c>
      <c r="H104" t="str" cm="1">
        <f t="array" ref="H104">_xlfn.TEXTSPLIT(E104,"/")</f>
        <v>1LATA</v>
      </c>
    </row>
    <row r="105" spans="1:8" x14ac:dyDescent="0.3">
      <c r="A105" t="s">
        <v>107</v>
      </c>
      <c r="B105" t="str">
        <f>IF(COUNTIF(C105:I105,UI!B$2)=0,"/nope/",ROW(A105)-1)</f>
        <v>/nope/</v>
      </c>
      <c r="C105" s="1" t="str" cm="1">
        <f t="array" ref="C105:F105">IF(A105="","",_xlfn.TEXTSPLIT(A105,","))</f>
        <v>VM</v>
      </c>
      <c r="D105" s="1" t="str">
        <v>ENG</v>
      </c>
      <c r="E105" s="1" t="str">
        <v>1LATB</v>
      </c>
      <c r="F105" s="1" t="str">
        <v>1</v>
      </c>
      <c r="G105" s="1" t="str">
        <f t="shared" si="1"/>
        <v>1LATB</v>
      </c>
      <c r="H105" t="str" cm="1">
        <f t="array" ref="H105">_xlfn.TEXTSPLIT(E105,"/")</f>
        <v>1LATB</v>
      </c>
    </row>
    <row r="106" spans="1:8" x14ac:dyDescent="0.3">
      <c r="A106" t="s">
        <v>108</v>
      </c>
      <c r="B106" t="str">
        <f>IF(COUNTIF(C106:I106,UI!B$2)=0,"/nope/",ROW(A106)-1)</f>
        <v>/nope/</v>
      </c>
      <c r="C106" s="1" t="str" cm="1">
        <f t="array" ref="C106:F106">IF(A106="","",_xlfn.TEXTSPLIT(A106,","))</f>
        <v>VM</v>
      </c>
      <c r="D106" s="1" t="str">
        <v>ENG</v>
      </c>
      <c r="E106" s="1" t="str">
        <v>1LATE</v>
      </c>
      <c r="F106" s="1" t="str">
        <v>1</v>
      </c>
      <c r="G106" s="1" t="str">
        <f t="shared" si="1"/>
        <v>1LATE</v>
      </c>
      <c r="H106" t="str" cm="1">
        <f t="array" ref="H106">_xlfn.TEXTSPLIT(E106,"/")</f>
        <v>1LATE</v>
      </c>
    </row>
    <row r="107" spans="1:8" x14ac:dyDescent="0.3">
      <c r="A107" t="s">
        <v>109</v>
      </c>
      <c r="B107" t="str">
        <f>IF(COUNTIF(C107:I107,UI!B$2)=0,"/nope/",ROW(A107)-1)</f>
        <v>/nope/</v>
      </c>
      <c r="C107" s="1" t="str" cm="1">
        <f t="array" ref="C107:F107">IF(A107="","",_xlfn.TEXTSPLIT(A107,","))</f>
        <v>VM</v>
      </c>
      <c r="D107" s="1" t="str">
        <v>ENG</v>
      </c>
      <c r="E107" s="1" t="str">
        <v>1LATC</v>
      </c>
      <c r="F107" s="1" t="str">
        <v>1</v>
      </c>
      <c r="G107" s="1" t="str">
        <f t="shared" si="1"/>
        <v>1LATC</v>
      </c>
      <c r="H107" t="str" cm="1">
        <f t="array" ref="H107">_xlfn.TEXTSPLIT(E107,"/")</f>
        <v>1LATC</v>
      </c>
    </row>
    <row r="108" spans="1:8" x14ac:dyDescent="0.3">
      <c r="A108" t="s">
        <v>110</v>
      </c>
      <c r="B108" t="str">
        <f>IF(COUNTIF(C108:I108,UI!B$2)=0,"/nope/",ROW(A108)-1)</f>
        <v>/nope/</v>
      </c>
      <c r="C108" s="1" t="str" cm="1">
        <f t="array" ref="C108:F108">IF(A108="","",_xlfn.TEXTSPLIT(A108,","))</f>
        <v>VM</v>
      </c>
      <c r="D108" s="1" t="str">
        <v>ENG</v>
      </c>
      <c r="E108" s="1" t="str">
        <v>1LATD</v>
      </c>
      <c r="F108" s="1" t="str">
        <v>1</v>
      </c>
      <c r="G108" s="1" t="str">
        <f t="shared" si="1"/>
        <v>1LATD</v>
      </c>
      <c r="H108" t="str" cm="1">
        <f t="array" ref="H108">_xlfn.TEXTSPLIT(E108,"/")</f>
        <v>1LATD</v>
      </c>
    </row>
    <row r="109" spans="1:8" x14ac:dyDescent="0.3">
      <c r="A109" t="s">
        <v>111</v>
      </c>
      <c r="B109" t="str">
        <f>IF(COUNTIF(C109:I109,UI!B$2)=0,"/nope/",ROW(A109)-1)</f>
        <v>/nope/</v>
      </c>
      <c r="C109" s="1" t="str" cm="1">
        <f t="array" ref="C109:F109">IF(A109="","",_xlfn.TEXTSPLIT(A109,","))</f>
        <v>VM</v>
      </c>
      <c r="D109" s="1" t="str">
        <v>GESCH</v>
      </c>
      <c r="E109" s="1" t="str">
        <v>1LATA</v>
      </c>
      <c r="F109" s="1" t="str">
        <v>1</v>
      </c>
      <c r="G109" s="1" t="str">
        <f t="shared" si="1"/>
        <v>1LATA</v>
      </c>
      <c r="H109" t="str" cm="1">
        <f t="array" ref="H109">_xlfn.TEXTSPLIT(E109,"/")</f>
        <v>1LATA</v>
      </c>
    </row>
    <row r="110" spans="1:8" x14ac:dyDescent="0.3">
      <c r="A110" t="s">
        <v>112</v>
      </c>
      <c r="B110" t="str">
        <f>IF(COUNTIF(C110:I110,UI!B$2)=0,"/nope/",ROW(A110)-1)</f>
        <v>/nope/</v>
      </c>
      <c r="C110" s="1" t="str" cm="1">
        <f t="array" ref="C110:F110">IF(A110="","",_xlfn.TEXTSPLIT(A110,","))</f>
        <v>VM</v>
      </c>
      <c r="D110" s="1" t="str">
        <v>GESCH</v>
      </c>
      <c r="E110" s="1" t="str">
        <v>1LATB</v>
      </c>
      <c r="F110" s="1" t="str">
        <v>1</v>
      </c>
      <c r="G110" s="1" t="str">
        <f t="shared" si="1"/>
        <v>1LATB</v>
      </c>
      <c r="H110" t="str" cm="1">
        <f t="array" ref="H110">_xlfn.TEXTSPLIT(E110,"/")</f>
        <v>1LATB</v>
      </c>
    </row>
    <row r="111" spans="1:8" x14ac:dyDescent="0.3">
      <c r="A111" t="s">
        <v>113</v>
      </c>
      <c r="B111" t="str">
        <f>IF(COUNTIF(C111:I111,UI!B$2)=0,"/nope/",ROW(A111)-1)</f>
        <v>/nope/</v>
      </c>
      <c r="C111" s="1" t="str" cm="1">
        <f t="array" ref="C111:F111">IF(A111="","",_xlfn.TEXTSPLIT(A111,","))</f>
        <v>VM</v>
      </c>
      <c r="D111" s="1" t="str">
        <v>GESCH</v>
      </c>
      <c r="E111" s="1" t="str">
        <v>1LATE</v>
      </c>
      <c r="F111" s="1" t="str">
        <v>1</v>
      </c>
      <c r="G111" s="1" t="str">
        <f t="shared" si="1"/>
        <v>1LATE</v>
      </c>
      <c r="H111" t="str" cm="1">
        <f t="array" ref="H111">_xlfn.TEXTSPLIT(E111,"/")</f>
        <v>1LATE</v>
      </c>
    </row>
    <row r="112" spans="1:8" x14ac:dyDescent="0.3">
      <c r="A112" t="s">
        <v>114</v>
      </c>
      <c r="B112" t="str">
        <f>IF(COUNTIF(C112:I112,UI!B$2)=0,"/nope/",ROW(A112)-1)</f>
        <v>/nope/</v>
      </c>
      <c r="C112" s="1" t="str" cm="1">
        <f t="array" ref="C112:F112">IF(A112="","",_xlfn.TEXTSPLIT(A112,","))</f>
        <v>VM</v>
      </c>
      <c r="D112" s="1" t="str">
        <v>GESCH</v>
      </c>
      <c r="E112" s="1" t="str">
        <v>1LATC</v>
      </c>
      <c r="F112" s="1" t="str">
        <v>1</v>
      </c>
      <c r="G112" s="1" t="str">
        <f t="shared" si="1"/>
        <v>1LATC</v>
      </c>
      <c r="H112" t="str" cm="1">
        <f t="array" ref="H112">_xlfn.TEXTSPLIT(E112,"/")</f>
        <v>1LATC</v>
      </c>
    </row>
    <row r="113" spans="1:9" x14ac:dyDescent="0.3">
      <c r="A113" t="s">
        <v>115</v>
      </c>
      <c r="B113" t="str">
        <f>IF(COUNTIF(C113:I113,UI!B$2)=0,"/nope/",ROW(A113)-1)</f>
        <v>/nope/</v>
      </c>
      <c r="C113" s="1" t="str" cm="1">
        <f t="array" ref="C113:F113">IF(A113="","",_xlfn.TEXTSPLIT(A113,","))</f>
        <v>VM</v>
      </c>
      <c r="D113" s="1" t="str">
        <v>GESCH</v>
      </c>
      <c r="E113" s="1" t="str">
        <v>1LATD</v>
      </c>
      <c r="F113" s="1" t="str">
        <v>1</v>
      </c>
      <c r="G113" s="1" t="str">
        <f t="shared" si="1"/>
        <v>1LATD</v>
      </c>
      <c r="H113" t="str" cm="1">
        <f t="array" ref="H113">_xlfn.TEXTSPLIT(E113,"/")</f>
        <v>1LATD</v>
      </c>
    </row>
    <row r="114" spans="1:9" x14ac:dyDescent="0.3">
      <c r="A114" t="s">
        <v>116</v>
      </c>
      <c r="B114" t="str">
        <f>IF(COUNTIF(C114:I114,UI!B$2)=0,"/nope/",ROW(A114)-1)</f>
        <v>/nope/</v>
      </c>
      <c r="C114" s="1" t="str" cm="1">
        <f t="array" ref="C114:F114">IF(A114="","",_xlfn.TEXTSPLIT(A114,","))</f>
        <v>VM</v>
      </c>
      <c r="D114" s="1" t="str">
        <v>LAT</v>
      </c>
      <c r="E114" s="1" t="str">
        <v>1LATB</v>
      </c>
      <c r="F114" s="1" t="str">
        <v>5</v>
      </c>
      <c r="G114" s="1" t="str">
        <f t="shared" si="1"/>
        <v>1LATB</v>
      </c>
      <c r="H114" t="str" cm="1">
        <f t="array" ref="H114">_xlfn.TEXTSPLIT(E114,"/")</f>
        <v>1LATB</v>
      </c>
    </row>
    <row r="115" spans="1:9" x14ac:dyDescent="0.3">
      <c r="A115" t="s">
        <v>117</v>
      </c>
      <c r="B115" t="str">
        <f>IF(COUNTIF(C115:I115,UI!B$2)=0,"/nope/",ROW(A115)-1)</f>
        <v>/nope/</v>
      </c>
      <c r="C115" s="1" t="str" cm="1">
        <f t="array" ref="C115:F115">IF(A115="","",_xlfn.TEXTSPLIT(A115,","))</f>
        <v>VM</v>
      </c>
      <c r="D115" s="1" t="str">
        <v>LAT</v>
      </c>
      <c r="E115" s="1" t="str">
        <v>1LATE</v>
      </c>
      <c r="F115" s="1" t="str">
        <v>5</v>
      </c>
      <c r="G115" s="1" t="str">
        <f t="shared" si="1"/>
        <v>1LATE</v>
      </c>
      <c r="H115" t="str" cm="1">
        <f t="array" ref="H115">_xlfn.TEXTSPLIT(E115,"/")</f>
        <v>1LATE</v>
      </c>
    </row>
    <row r="116" spans="1:9" x14ac:dyDescent="0.3">
      <c r="A116" t="s">
        <v>118</v>
      </c>
      <c r="B116" t="str">
        <f>IF(COUNTIF(C116:I116,UI!B$2)=0,"/nope/",ROW(A116)-1)</f>
        <v>/nope/</v>
      </c>
      <c r="C116" s="1" t="str" cm="1">
        <f t="array" ref="C116:F116">IF(A116="","",_xlfn.TEXTSPLIT(A116,","))</f>
        <v>VMS</v>
      </c>
      <c r="D116" s="1" t="str">
        <v>TEC</v>
      </c>
      <c r="E116" s="1" t="str">
        <v>1LATA</v>
      </c>
      <c r="F116" s="1" t="str">
        <v>2</v>
      </c>
      <c r="G116" s="1" t="str">
        <f t="shared" si="1"/>
        <v>1LATA</v>
      </c>
      <c r="H116" t="str" cm="1">
        <f t="array" ref="H116">_xlfn.TEXTSPLIT(E116,"/")</f>
        <v>1LATA</v>
      </c>
    </row>
    <row r="117" spans="1:9" x14ac:dyDescent="0.3">
      <c r="A117" t="s">
        <v>119</v>
      </c>
      <c r="B117" t="str">
        <f>IF(COUNTIF(C117:I117,UI!B$2)=0,"/nope/",ROW(A117)-1)</f>
        <v>/nope/</v>
      </c>
      <c r="C117" s="1" t="str" cm="1">
        <f t="array" ref="C117:F117">IF(A117="","",_xlfn.TEXTSPLIT(A117,","))</f>
        <v>VMS</v>
      </c>
      <c r="D117" s="1" t="str">
        <v>TEC</v>
      </c>
      <c r="E117" s="1" t="str">
        <v>1LATB</v>
      </c>
      <c r="F117" s="1" t="str">
        <v>2</v>
      </c>
      <c r="G117" s="1" t="str">
        <f t="shared" si="1"/>
        <v>1LATB</v>
      </c>
      <c r="H117" t="str" cm="1">
        <f t="array" ref="H117">_xlfn.TEXTSPLIT(E117,"/")</f>
        <v>1LATB</v>
      </c>
    </row>
    <row r="118" spans="1:9" x14ac:dyDescent="0.3">
      <c r="A118" t="s">
        <v>120</v>
      </c>
      <c r="B118" t="str">
        <f>IF(COUNTIF(C118:I118,UI!B$2)=0,"/nope/",ROW(A118)-1)</f>
        <v>/nope/</v>
      </c>
      <c r="C118" s="1" t="str" cm="1">
        <f t="array" ref="C118:F118">IF(A118="","",_xlfn.TEXTSPLIT(A118,","))</f>
        <v>VMS</v>
      </c>
      <c r="D118" s="1" t="str">
        <v>TEC</v>
      </c>
      <c r="E118" s="1" t="str">
        <v>1LATC</v>
      </c>
      <c r="F118" s="1" t="str">
        <v>2</v>
      </c>
      <c r="G118" s="1" t="str">
        <f t="shared" si="1"/>
        <v>1LATC</v>
      </c>
      <c r="H118" t="str" cm="1">
        <f t="array" ref="H118">_xlfn.TEXTSPLIT(E118,"/")</f>
        <v>1LATC</v>
      </c>
    </row>
    <row r="119" spans="1:9" x14ac:dyDescent="0.3">
      <c r="A119" t="s">
        <v>121</v>
      </c>
      <c r="B119" t="str">
        <f>IF(COUNTIF(C119:I119,UI!B$2)=0,"/nope/",ROW(A119)-1)</f>
        <v>/nope/</v>
      </c>
      <c r="C119" s="1" t="str" cm="1">
        <f t="array" ref="C119:F119">IF(A119="","",_xlfn.TEXTSPLIT(A119,","))</f>
        <v>VMS</v>
      </c>
      <c r="D119" s="1" t="str">
        <v>TEC</v>
      </c>
      <c r="E119" s="1" t="str">
        <v>1LATD</v>
      </c>
      <c r="F119" s="1" t="str">
        <v>2</v>
      </c>
      <c r="G119" s="1" t="str">
        <f t="shared" si="1"/>
        <v>1LATD</v>
      </c>
      <c r="H119" t="str" cm="1">
        <f t="array" ref="H119">_xlfn.TEXTSPLIT(E119,"/")</f>
        <v>1LATD</v>
      </c>
    </row>
    <row r="120" spans="1:9" x14ac:dyDescent="0.3">
      <c r="A120" t="s">
        <v>122</v>
      </c>
      <c r="B120" t="str">
        <f>IF(COUNTIF(C120:I120,UI!B$2)=0,"/nope/",ROW(A120)-1)</f>
        <v>/nope/</v>
      </c>
      <c r="C120" s="1" t="str" cm="1">
        <f t="array" ref="C120:F120">IF(A120="","",_xlfn.TEXTSPLIT(A120,","))</f>
        <v>VMS</v>
      </c>
      <c r="D120" s="1" t="str">
        <v>TEC</v>
      </c>
      <c r="E120" s="1" t="str">
        <v>1LATE</v>
      </c>
      <c r="F120" s="1" t="str">
        <v>2</v>
      </c>
      <c r="G120" s="1" t="str">
        <f t="shared" si="1"/>
        <v>1LATE</v>
      </c>
      <c r="H120" t="str" cm="1">
        <f t="array" ref="H120">_xlfn.TEXTSPLIT(E120,"/")</f>
        <v>1LATE</v>
      </c>
    </row>
    <row r="121" spans="1:9" x14ac:dyDescent="0.3">
      <c r="A121" t="s">
        <v>123</v>
      </c>
      <c r="B121" t="str">
        <f>IF(COUNTIF(C121:I121,UI!B$2)=0,"/nope/",ROW(A121)-1)</f>
        <v>/nope/</v>
      </c>
      <c r="C121" s="1" t="str" cm="1">
        <f t="array" ref="C121:F121">IF(A121="","",_xlfn.TEXTSPLIT(A121,","))</f>
        <v>VMS</v>
      </c>
      <c r="D121" s="1" t="str">
        <v>TEC</v>
      </c>
      <c r="E121" s="1" t="str">
        <v>2GLAA/2LATA</v>
      </c>
      <c r="F121" s="1" t="str">
        <v>2</v>
      </c>
      <c r="G121" s="1" t="str">
        <f t="shared" si="1"/>
        <v/>
      </c>
      <c r="H121" t="str" cm="1">
        <f t="array" ref="H121:I121">_xlfn.TEXTSPLIT(E121,"/")</f>
        <v>2GLAA</v>
      </c>
      <c r="I121" t="str">
        <v>2LATA</v>
      </c>
    </row>
    <row r="122" spans="1:9" x14ac:dyDescent="0.3">
      <c r="A122" t="s">
        <v>124</v>
      </c>
      <c r="B122" t="str">
        <f>IF(COUNTIF(C122:I122,UI!B$2)=0,"/nope/",ROW(A122)-1)</f>
        <v>/nope/</v>
      </c>
      <c r="C122" s="1" t="str" cm="1">
        <f t="array" ref="C122:F122">IF(A122="","",_xlfn.TEXTSPLIT(A122,","))</f>
        <v>VMS</v>
      </c>
      <c r="D122" s="1" t="str">
        <v>TEC</v>
      </c>
      <c r="E122" s="1" t="str">
        <v>2LATB</v>
      </c>
      <c r="F122" s="1" t="str">
        <v>2</v>
      </c>
      <c r="G122" s="1" t="str">
        <f t="shared" si="1"/>
        <v>2LATB</v>
      </c>
      <c r="H122" t="str" cm="1">
        <f t="array" ref="H122">_xlfn.TEXTSPLIT(E122,"/")</f>
        <v>2LATB</v>
      </c>
    </row>
    <row r="123" spans="1:9" x14ac:dyDescent="0.3">
      <c r="A123" t="s">
        <v>125</v>
      </c>
      <c r="B123" t="str">
        <f>IF(COUNTIF(C123:I123,UI!B$2)=0,"/nope/",ROW(A123)-1)</f>
        <v>/nope/</v>
      </c>
      <c r="C123" s="1" t="str" cm="1">
        <f t="array" ref="C123:F123">IF(A123="","",_xlfn.TEXTSPLIT(A123,","))</f>
        <v>VMS</v>
      </c>
      <c r="D123" s="1" t="str">
        <v>TEC</v>
      </c>
      <c r="E123" s="1" t="str">
        <v>2LATC</v>
      </c>
      <c r="F123" s="1" t="str">
        <v>2</v>
      </c>
      <c r="G123" s="1" t="str">
        <f t="shared" si="1"/>
        <v>2LATC</v>
      </c>
      <c r="H123" t="str" cm="1">
        <f t="array" ref="H123">_xlfn.TEXTSPLIT(E123,"/")</f>
        <v>2LATC</v>
      </c>
    </row>
    <row r="124" spans="1:9" x14ac:dyDescent="0.3">
      <c r="A124" t="s">
        <v>126</v>
      </c>
      <c r="B124" t="str">
        <f>IF(COUNTIF(C124:I124,UI!B$2)=0,"/nope/",ROW(A124)-1)</f>
        <v>/nope/</v>
      </c>
      <c r="C124" s="1" t="str" cm="1">
        <f t="array" ref="C124:F124">IF(A124="","",_xlfn.TEXTSPLIT(A124,","))</f>
        <v>VMS</v>
      </c>
      <c r="D124" s="1" t="str">
        <v>TEC</v>
      </c>
      <c r="E124" s="1" t="str">
        <v>2LATD</v>
      </c>
      <c r="F124" s="1" t="str">
        <v>2</v>
      </c>
      <c r="G124" s="1" t="str">
        <f t="shared" si="1"/>
        <v>2LATD</v>
      </c>
      <c r="H124" t="str" cm="1">
        <f t="array" ref="H124">_xlfn.TEXTSPLIT(E124,"/")</f>
        <v>2LATD</v>
      </c>
    </row>
    <row r="125" spans="1:9" x14ac:dyDescent="0.3">
      <c r="A125" t="s">
        <v>127</v>
      </c>
      <c r="B125" t="str">
        <f>IF(COUNTIF(C125:I125,UI!B$2)=0,"/nope/",ROW(A125)-1)</f>
        <v>/nope/</v>
      </c>
      <c r="C125" s="1" t="str" cm="1">
        <f t="array" ref="C125:F125">IF(A125="","",_xlfn.TEXTSPLIT(A125,","))</f>
        <v>VMS</v>
      </c>
      <c r="D125" s="1" t="str">
        <v>TEC</v>
      </c>
      <c r="E125" s="1" t="str">
        <v>2LATE</v>
      </c>
      <c r="F125" s="1" t="str">
        <v>2</v>
      </c>
      <c r="G125" s="1" t="str">
        <f t="shared" si="1"/>
        <v>2LATE</v>
      </c>
      <c r="H125" t="str" cm="1">
        <f t="array" ref="H125">_xlfn.TEXTSPLIT(E125,"/")</f>
        <v>2LATE</v>
      </c>
    </row>
    <row r="126" spans="1:9" x14ac:dyDescent="0.3">
      <c r="B126" t="str">
        <f>IF(COUNTIF(C126:I126,UI!B$2)=0,"/nope/",ROW(A126)-1)</f>
        <v>/nope/</v>
      </c>
      <c r="C126" s="1" t="str" cm="1">
        <f t="array" ref="C126">IF(A126="","",_xlfn.TEXTSPLIT(A126,","))</f>
        <v/>
      </c>
      <c r="G126" s="1" t="str">
        <f t="shared" si="1"/>
        <v/>
      </c>
      <c r="H126" t="e" cm="1">
        <f t="array" ref="H126">_xlfn.TEXTSPLIT(E126,"/")</f>
        <v>#VALUE!</v>
      </c>
    </row>
    <row r="127" spans="1:9" x14ac:dyDescent="0.3">
      <c r="B127" t="str">
        <f>IF(COUNTIF(C127:I127,UI!B$2)=0,"/nope/",ROW(A127)-1)</f>
        <v>/nope/</v>
      </c>
      <c r="C127" s="1" t="str" cm="1">
        <f t="array" ref="C127">IF(A127="","",_xlfn.TEXTSPLIT(A127,","))</f>
        <v/>
      </c>
      <c r="G127" s="1" t="str">
        <f t="shared" si="1"/>
        <v/>
      </c>
      <c r="H127" t="e" cm="1">
        <f t="array" ref="H127">_xlfn.TEXTSPLIT(E127,"/")</f>
        <v>#VALUE!</v>
      </c>
    </row>
    <row r="128" spans="1:9" x14ac:dyDescent="0.3">
      <c r="B128" t="str">
        <f>IF(COUNTIF(C128:I128,UI!B$2)=0,"/nope/",ROW(A128)-1)</f>
        <v>/nope/</v>
      </c>
      <c r="C128" s="1" t="str" cm="1">
        <f t="array" ref="C128">IF(A128="","",_xlfn.TEXTSPLIT(A128,","))</f>
        <v/>
      </c>
      <c r="G128" s="1" t="str">
        <f t="shared" si="1"/>
        <v/>
      </c>
      <c r="H128" t="e" cm="1">
        <f t="array" ref="H128">_xlfn.TEXTSPLIT(E128,"/")</f>
        <v>#VALUE!</v>
      </c>
    </row>
    <row r="129" spans="2:8" x14ac:dyDescent="0.3">
      <c r="B129" t="str">
        <f>IF(COUNTIF(C129:I129,UI!B$2)=0,"/nope/",ROW(A129)-1)</f>
        <v>/nope/</v>
      </c>
      <c r="C129" s="1" t="str" cm="1">
        <f t="array" ref="C129">IF(A129="","",_xlfn.TEXTSPLIT(A129,","))</f>
        <v/>
      </c>
      <c r="G129" s="1" t="str">
        <f t="shared" si="1"/>
        <v/>
      </c>
      <c r="H129" t="e" cm="1">
        <f t="array" ref="H129">_xlfn.TEXTSPLIT(E129,"/")</f>
        <v>#VALUE!</v>
      </c>
    </row>
    <row r="130" spans="2:8" x14ac:dyDescent="0.3">
      <c r="B130" t="str">
        <f>IF(COUNTIF(C130:I130,UI!B$2)=0,"/nope/",ROW(A130)-1)</f>
        <v>/nope/</v>
      </c>
      <c r="C130" s="1" t="str" cm="1">
        <f t="array" ref="C130">IF(A130="","",_xlfn.TEXTSPLIT(A130,","))</f>
        <v/>
      </c>
      <c r="G130" s="1" t="str">
        <f t="shared" ref="G130:G193" si="2">IF(E130="","",IF(I130="",E130,""))</f>
        <v/>
      </c>
      <c r="H130" t="e" cm="1">
        <f t="array" ref="H130">_xlfn.TEXTSPLIT(E130,"/")</f>
        <v>#VALUE!</v>
      </c>
    </row>
    <row r="131" spans="2:8" x14ac:dyDescent="0.3">
      <c r="B131" t="str">
        <f>IF(COUNTIF(C131:I131,UI!B$2)=0,"/nope/",ROW(A131)-1)</f>
        <v>/nope/</v>
      </c>
      <c r="C131" s="1" t="str" cm="1">
        <f t="array" ref="C131">IF(A131="","",_xlfn.TEXTSPLIT(A131,","))</f>
        <v/>
      </c>
      <c r="G131" s="1" t="str">
        <f t="shared" si="2"/>
        <v/>
      </c>
      <c r="H131" t="e" cm="1">
        <f t="array" ref="H131">_xlfn.TEXTSPLIT(E131,"/")</f>
        <v>#VALUE!</v>
      </c>
    </row>
    <row r="132" spans="2:8" x14ac:dyDescent="0.3">
      <c r="B132" t="str">
        <f>IF(COUNTIF(C132:I132,UI!B$2)=0,"/nope/",ROW(A132)-1)</f>
        <v>/nope/</v>
      </c>
      <c r="C132" s="1" t="str" cm="1">
        <f t="array" ref="C132">IF(A132="","",_xlfn.TEXTSPLIT(A132,","))</f>
        <v/>
      </c>
      <c r="G132" s="1" t="str">
        <f t="shared" si="2"/>
        <v/>
      </c>
      <c r="H132" t="e" cm="1">
        <f t="array" ref="H132">_xlfn.TEXTSPLIT(E132,"/")</f>
        <v>#VALUE!</v>
      </c>
    </row>
    <row r="133" spans="2:8" x14ac:dyDescent="0.3">
      <c r="B133" t="str">
        <f>IF(COUNTIF(C133:I133,UI!B$2)=0,"/nope/",ROW(A133)-1)</f>
        <v>/nope/</v>
      </c>
      <c r="C133" s="1" t="str" cm="1">
        <f t="array" ref="C133">IF(A133="","",_xlfn.TEXTSPLIT(A133,","))</f>
        <v/>
      </c>
      <c r="G133" s="1" t="str">
        <f t="shared" si="2"/>
        <v/>
      </c>
      <c r="H133" t="e" cm="1">
        <f t="array" ref="H133">_xlfn.TEXTSPLIT(E133,"/")</f>
        <v>#VALUE!</v>
      </c>
    </row>
    <row r="134" spans="2:8" x14ac:dyDescent="0.3">
      <c r="B134" t="str">
        <f>IF(COUNTIF(C134:I134,UI!B$2)=0,"/nope/",ROW(A134)-1)</f>
        <v>/nope/</v>
      </c>
      <c r="C134" s="1" t="str" cm="1">
        <f t="array" ref="C134">IF(A134="","",_xlfn.TEXTSPLIT(A134,","))</f>
        <v/>
      </c>
      <c r="G134" s="1" t="str">
        <f t="shared" si="2"/>
        <v/>
      </c>
      <c r="H134" t="e" cm="1">
        <f t="array" ref="H134">_xlfn.TEXTSPLIT(E134,"/")</f>
        <v>#VALUE!</v>
      </c>
    </row>
    <row r="135" spans="2:8" x14ac:dyDescent="0.3">
      <c r="B135" t="str">
        <f>IF(COUNTIF(C135:I135,UI!B$2)=0,"/nope/",ROW(A135)-1)</f>
        <v>/nope/</v>
      </c>
      <c r="C135" s="1" t="str" cm="1">
        <f t="array" ref="C135">IF(A135="","",_xlfn.TEXTSPLIT(A135,","))</f>
        <v/>
      </c>
      <c r="G135" s="1" t="str">
        <f t="shared" si="2"/>
        <v/>
      </c>
      <c r="H135" t="e" cm="1">
        <f t="array" ref="H135">_xlfn.TEXTSPLIT(E135,"/")</f>
        <v>#VALUE!</v>
      </c>
    </row>
    <row r="136" spans="2:8" x14ac:dyDescent="0.3">
      <c r="B136" t="str">
        <f>IF(COUNTIF(C136:I136,UI!B$2)=0,"/nope/",ROW(A136)-1)</f>
        <v>/nope/</v>
      </c>
      <c r="C136" s="1" t="str" cm="1">
        <f t="array" ref="C136">IF(A136="","",_xlfn.TEXTSPLIT(A136,","))</f>
        <v/>
      </c>
      <c r="G136" s="1" t="str">
        <f t="shared" si="2"/>
        <v/>
      </c>
      <c r="H136" t="e" cm="1">
        <f t="array" ref="H136">_xlfn.TEXTSPLIT(E136,"/")</f>
        <v>#VALUE!</v>
      </c>
    </row>
    <row r="137" spans="2:8" x14ac:dyDescent="0.3">
      <c r="B137" t="str">
        <f>IF(COUNTIF(C137:I137,UI!B$2)=0,"/nope/",ROW(A137)-1)</f>
        <v>/nope/</v>
      </c>
      <c r="C137" s="1" t="str" cm="1">
        <f t="array" ref="C137">IF(A137="","",_xlfn.TEXTSPLIT(A137,","))</f>
        <v/>
      </c>
      <c r="G137" s="1" t="str">
        <f t="shared" si="2"/>
        <v/>
      </c>
      <c r="H137" t="e" cm="1">
        <f t="array" ref="H137">_xlfn.TEXTSPLIT(E137,"/")</f>
        <v>#VALUE!</v>
      </c>
    </row>
    <row r="138" spans="2:8" x14ac:dyDescent="0.3">
      <c r="B138" t="str">
        <f>IF(COUNTIF(C138:I138,UI!B$2)=0,"/nope/",ROW(A138)-1)</f>
        <v>/nope/</v>
      </c>
      <c r="C138" s="1" t="str" cm="1">
        <f t="array" ref="C138">IF(A138="","",_xlfn.TEXTSPLIT(A138,","))</f>
        <v/>
      </c>
      <c r="G138" s="1" t="str">
        <f t="shared" si="2"/>
        <v/>
      </c>
      <c r="H138" t="e" cm="1">
        <f t="array" ref="H138">_xlfn.TEXTSPLIT(E138,"/")</f>
        <v>#VALUE!</v>
      </c>
    </row>
    <row r="139" spans="2:8" x14ac:dyDescent="0.3">
      <c r="B139" t="str">
        <f>IF(COUNTIF(C139:I139,UI!B$2)=0,"/nope/",ROW(A139)-1)</f>
        <v>/nope/</v>
      </c>
      <c r="C139" s="1" t="str" cm="1">
        <f t="array" ref="C139">IF(A139="","",_xlfn.TEXTSPLIT(A139,","))</f>
        <v/>
      </c>
      <c r="G139" s="1" t="str">
        <f t="shared" si="2"/>
        <v/>
      </c>
      <c r="H139" t="e" cm="1">
        <f t="array" ref="H139">_xlfn.TEXTSPLIT(E139,"/")</f>
        <v>#VALUE!</v>
      </c>
    </row>
    <row r="140" spans="2:8" x14ac:dyDescent="0.3">
      <c r="B140" t="str">
        <f>IF(COUNTIF(C140:I140,UI!B$2)=0,"/nope/",ROW(A140)-1)</f>
        <v>/nope/</v>
      </c>
      <c r="C140" s="1" t="str" cm="1">
        <f t="array" ref="C140">IF(A140="","",_xlfn.TEXTSPLIT(A140,","))</f>
        <v/>
      </c>
      <c r="G140" s="1" t="str">
        <f t="shared" si="2"/>
        <v/>
      </c>
      <c r="H140" t="e" cm="1">
        <f t="array" ref="H140">_xlfn.TEXTSPLIT(E140,"/")</f>
        <v>#VALUE!</v>
      </c>
    </row>
    <row r="141" spans="2:8" x14ac:dyDescent="0.3">
      <c r="B141" t="str">
        <f>IF(COUNTIF(C141:I141,UI!B$2)=0,"/nope/",ROW(A141)-1)</f>
        <v>/nope/</v>
      </c>
      <c r="C141" s="1" t="str" cm="1">
        <f t="array" ref="C141">IF(A141="","",_xlfn.TEXTSPLIT(A141,","))</f>
        <v/>
      </c>
      <c r="G141" s="1" t="str">
        <f t="shared" si="2"/>
        <v/>
      </c>
      <c r="H141" t="e" cm="1">
        <f t="array" ref="H141">_xlfn.TEXTSPLIT(E141,"/")</f>
        <v>#VALUE!</v>
      </c>
    </row>
    <row r="142" spans="2:8" x14ac:dyDescent="0.3">
      <c r="B142" t="str">
        <f>IF(COUNTIF(C142:I142,UI!B$2)=0,"/nope/",ROW(A142)-1)</f>
        <v>/nope/</v>
      </c>
      <c r="C142" s="1" t="str" cm="1">
        <f t="array" ref="C142">IF(A142="","",_xlfn.TEXTSPLIT(A142,","))</f>
        <v/>
      </c>
      <c r="G142" s="1" t="str">
        <f t="shared" si="2"/>
        <v/>
      </c>
      <c r="H142" t="e" cm="1">
        <f t="array" ref="H142">_xlfn.TEXTSPLIT(E142,"/")</f>
        <v>#VALUE!</v>
      </c>
    </row>
    <row r="143" spans="2:8" x14ac:dyDescent="0.3">
      <c r="B143" t="str">
        <f>IF(COUNTIF(C143:I143,UI!B$2)=0,"/nope/",ROW(A143)-1)</f>
        <v>/nope/</v>
      </c>
      <c r="C143" s="1" t="str" cm="1">
        <f t="array" ref="C143">IF(A143="","",_xlfn.TEXTSPLIT(A143,","))</f>
        <v/>
      </c>
      <c r="G143" s="1" t="str">
        <f t="shared" si="2"/>
        <v/>
      </c>
      <c r="H143" t="e" cm="1">
        <f t="array" ref="H143">_xlfn.TEXTSPLIT(E143,"/")</f>
        <v>#VALUE!</v>
      </c>
    </row>
    <row r="144" spans="2:8" x14ac:dyDescent="0.3">
      <c r="B144" t="str">
        <f>IF(COUNTIF(C144:I144,UI!B$2)=0,"/nope/",ROW(A144)-1)</f>
        <v>/nope/</v>
      </c>
      <c r="C144" s="1" t="str" cm="1">
        <f t="array" ref="C144">IF(A144="","",_xlfn.TEXTSPLIT(A144,","))</f>
        <v/>
      </c>
      <c r="G144" s="1" t="str">
        <f t="shared" si="2"/>
        <v/>
      </c>
      <c r="H144" t="e" cm="1">
        <f t="array" ref="H144">_xlfn.TEXTSPLIT(E144,"/")</f>
        <v>#VALUE!</v>
      </c>
    </row>
    <row r="145" spans="2:8" x14ac:dyDescent="0.3">
      <c r="B145" t="str">
        <f>IF(COUNTIF(C145:I145,UI!B$2)=0,"/nope/",ROW(A145)-1)</f>
        <v>/nope/</v>
      </c>
      <c r="C145" s="1" t="str" cm="1">
        <f t="array" ref="C145">IF(A145="","",_xlfn.TEXTSPLIT(A145,","))</f>
        <v/>
      </c>
      <c r="G145" s="1" t="str">
        <f t="shared" si="2"/>
        <v/>
      </c>
      <c r="H145" t="e" cm="1">
        <f t="array" ref="H145">_xlfn.TEXTSPLIT(E145,"/")</f>
        <v>#VALUE!</v>
      </c>
    </row>
    <row r="146" spans="2:8" x14ac:dyDescent="0.3">
      <c r="B146" t="str">
        <f>IF(COUNTIF(C146:I146,UI!B$2)=0,"/nope/",ROW(A146)-1)</f>
        <v>/nope/</v>
      </c>
      <c r="C146" s="1" t="str" cm="1">
        <f t="array" ref="C146">IF(A146="","",_xlfn.TEXTSPLIT(A146,","))</f>
        <v/>
      </c>
      <c r="G146" s="1" t="str">
        <f t="shared" si="2"/>
        <v/>
      </c>
      <c r="H146" t="e" cm="1">
        <f t="array" ref="H146">_xlfn.TEXTSPLIT(E146,"/")</f>
        <v>#VALUE!</v>
      </c>
    </row>
    <row r="147" spans="2:8" x14ac:dyDescent="0.3">
      <c r="B147" t="str">
        <f>IF(COUNTIF(C147:I147,UI!B$2)=0,"/nope/",ROW(A147)-1)</f>
        <v>/nope/</v>
      </c>
      <c r="C147" s="1" t="str" cm="1">
        <f t="array" ref="C147">IF(A147="","",_xlfn.TEXTSPLIT(A147,","))</f>
        <v/>
      </c>
      <c r="G147" s="1" t="str">
        <f t="shared" si="2"/>
        <v/>
      </c>
      <c r="H147" t="e" cm="1">
        <f t="array" ref="H147">_xlfn.TEXTSPLIT(E147,"/")</f>
        <v>#VALUE!</v>
      </c>
    </row>
    <row r="148" spans="2:8" x14ac:dyDescent="0.3">
      <c r="B148" t="str">
        <f>IF(COUNTIF(C148:I148,UI!B$2)=0,"/nope/",ROW(A148)-1)</f>
        <v>/nope/</v>
      </c>
      <c r="C148" s="1" t="str" cm="1">
        <f t="array" ref="C148">IF(A148="","",_xlfn.TEXTSPLIT(A148,","))</f>
        <v/>
      </c>
      <c r="G148" s="1" t="str">
        <f t="shared" si="2"/>
        <v/>
      </c>
      <c r="H148" t="e" cm="1">
        <f t="array" ref="H148">_xlfn.TEXTSPLIT(E148,"/")</f>
        <v>#VALUE!</v>
      </c>
    </row>
    <row r="149" spans="2:8" x14ac:dyDescent="0.3">
      <c r="B149" t="str">
        <f>IF(COUNTIF(C149:I149,UI!B$2)=0,"/nope/",ROW(A149)-1)</f>
        <v>/nope/</v>
      </c>
      <c r="C149" s="1" t="str" cm="1">
        <f t="array" ref="C149">IF(A149="","",_xlfn.TEXTSPLIT(A149,","))</f>
        <v/>
      </c>
      <c r="G149" s="1" t="str">
        <f t="shared" si="2"/>
        <v/>
      </c>
      <c r="H149" t="e" cm="1">
        <f t="array" ref="H149">_xlfn.TEXTSPLIT(E149,"/")</f>
        <v>#VALUE!</v>
      </c>
    </row>
    <row r="150" spans="2:8" x14ac:dyDescent="0.3">
      <c r="B150" t="str">
        <f>IF(COUNTIF(C150:I150,UI!B$2)=0,"/nope/",ROW(A150)-1)</f>
        <v>/nope/</v>
      </c>
      <c r="C150" s="1" t="str" cm="1">
        <f t="array" ref="C150">IF(A150="","",_xlfn.TEXTSPLIT(A150,","))</f>
        <v/>
      </c>
      <c r="G150" s="1" t="str">
        <f t="shared" si="2"/>
        <v/>
      </c>
      <c r="H150" t="e" cm="1">
        <f t="array" ref="H150">_xlfn.TEXTSPLIT(E150,"/")</f>
        <v>#VALUE!</v>
      </c>
    </row>
    <row r="151" spans="2:8" x14ac:dyDescent="0.3">
      <c r="B151" t="str">
        <f>IF(COUNTIF(C151:I151,UI!B$2)=0,"/nope/",ROW(A151)-1)</f>
        <v>/nope/</v>
      </c>
      <c r="C151" s="1" t="str" cm="1">
        <f t="array" ref="C151">IF(A151="","",_xlfn.TEXTSPLIT(A151,","))</f>
        <v/>
      </c>
      <c r="G151" s="1" t="str">
        <f t="shared" si="2"/>
        <v/>
      </c>
      <c r="H151" t="e" cm="1">
        <f t="array" ref="H151">_xlfn.TEXTSPLIT(E151,"/")</f>
        <v>#VALUE!</v>
      </c>
    </row>
    <row r="152" spans="2:8" x14ac:dyDescent="0.3">
      <c r="B152" t="str">
        <f>IF(COUNTIF(C152:I152,UI!B$2)=0,"/nope/",ROW(A152)-1)</f>
        <v>/nope/</v>
      </c>
      <c r="C152" s="1" t="str" cm="1">
        <f t="array" ref="C152">IF(A152="","",_xlfn.TEXTSPLIT(A152,","))</f>
        <v/>
      </c>
      <c r="G152" s="1" t="str">
        <f t="shared" si="2"/>
        <v/>
      </c>
      <c r="H152" t="e" cm="1">
        <f t="array" ref="H152">_xlfn.TEXTSPLIT(E152,"/")</f>
        <v>#VALUE!</v>
      </c>
    </row>
    <row r="153" spans="2:8" x14ac:dyDescent="0.3">
      <c r="B153" t="str">
        <f>IF(COUNTIF(C153:I153,UI!B$2)=0,"/nope/",ROW(A153)-1)</f>
        <v>/nope/</v>
      </c>
      <c r="C153" s="1" t="str" cm="1">
        <f t="array" ref="C153">IF(A153="","",_xlfn.TEXTSPLIT(A153,","))</f>
        <v/>
      </c>
      <c r="G153" s="1" t="str">
        <f t="shared" si="2"/>
        <v/>
      </c>
      <c r="H153" t="e" cm="1">
        <f t="array" ref="H153">_xlfn.TEXTSPLIT(E153,"/")</f>
        <v>#VALUE!</v>
      </c>
    </row>
    <row r="154" spans="2:8" x14ac:dyDescent="0.3">
      <c r="B154" t="str">
        <f>IF(COUNTIF(C154:I154,UI!B$2)=0,"/nope/",ROW(A154)-1)</f>
        <v>/nope/</v>
      </c>
      <c r="C154" s="1" t="str" cm="1">
        <f t="array" ref="C154">IF(A154="","",_xlfn.TEXTSPLIT(A154,","))</f>
        <v/>
      </c>
      <c r="G154" s="1" t="str">
        <f t="shared" si="2"/>
        <v/>
      </c>
      <c r="H154" t="e" cm="1">
        <f t="array" ref="H154">_xlfn.TEXTSPLIT(E154,"/")</f>
        <v>#VALUE!</v>
      </c>
    </row>
    <row r="155" spans="2:8" x14ac:dyDescent="0.3">
      <c r="B155" t="str">
        <f>IF(COUNTIF(C155:I155,UI!B$2)=0,"/nope/",ROW(A155)-1)</f>
        <v>/nope/</v>
      </c>
      <c r="C155" s="1" t="str" cm="1">
        <f t="array" ref="C155">IF(A155="","",_xlfn.TEXTSPLIT(A155,","))</f>
        <v/>
      </c>
      <c r="G155" s="1" t="str">
        <f t="shared" si="2"/>
        <v/>
      </c>
      <c r="H155" t="e" cm="1">
        <f t="array" ref="H155">_xlfn.TEXTSPLIT(E155,"/")</f>
        <v>#VALUE!</v>
      </c>
    </row>
    <row r="156" spans="2:8" x14ac:dyDescent="0.3">
      <c r="B156" t="str">
        <f>IF(COUNTIF(C156:I156,UI!B$2)=0,"/nope/",ROW(A156)-1)</f>
        <v>/nope/</v>
      </c>
      <c r="C156" s="1" t="str" cm="1">
        <f t="array" ref="C156">IF(A156="","",_xlfn.TEXTSPLIT(A156,","))</f>
        <v/>
      </c>
      <c r="G156" s="1" t="str">
        <f t="shared" si="2"/>
        <v/>
      </c>
      <c r="H156" t="e" cm="1">
        <f t="array" ref="H156">_xlfn.TEXTSPLIT(E156,"/")</f>
        <v>#VALUE!</v>
      </c>
    </row>
    <row r="157" spans="2:8" x14ac:dyDescent="0.3">
      <c r="B157" t="str">
        <f>IF(COUNTIF(C157:I157,UI!B$2)=0,"/nope/",ROW(A157)-1)</f>
        <v>/nope/</v>
      </c>
      <c r="C157" s="1" t="str" cm="1">
        <f t="array" ref="C157">IF(A157="","",_xlfn.TEXTSPLIT(A157,","))</f>
        <v/>
      </c>
      <c r="G157" s="1" t="str">
        <f t="shared" si="2"/>
        <v/>
      </c>
      <c r="H157" t="e" cm="1">
        <f t="array" ref="H157">_xlfn.TEXTSPLIT(E157,"/")</f>
        <v>#VALUE!</v>
      </c>
    </row>
    <row r="158" spans="2:8" x14ac:dyDescent="0.3">
      <c r="B158" t="str">
        <f>IF(COUNTIF(C158:I158,UI!B$2)=0,"/nope/",ROW(A158)-1)</f>
        <v>/nope/</v>
      </c>
      <c r="C158" s="1" t="str" cm="1">
        <f t="array" ref="C158">IF(A158="","",_xlfn.TEXTSPLIT(A158,","))</f>
        <v/>
      </c>
      <c r="G158" s="1" t="str">
        <f t="shared" si="2"/>
        <v/>
      </c>
      <c r="H158" t="e" cm="1">
        <f t="array" ref="H158">_xlfn.TEXTSPLIT(E158,"/")</f>
        <v>#VALUE!</v>
      </c>
    </row>
    <row r="159" spans="2:8" x14ac:dyDescent="0.3">
      <c r="B159" t="str">
        <f>IF(COUNTIF(C159:I159,UI!B$2)=0,"/nope/",ROW(A159)-1)</f>
        <v>/nope/</v>
      </c>
      <c r="C159" s="1" t="str" cm="1">
        <f t="array" ref="C159">IF(A159="","",_xlfn.TEXTSPLIT(A159,","))</f>
        <v/>
      </c>
      <c r="G159" s="1" t="str">
        <f t="shared" si="2"/>
        <v/>
      </c>
      <c r="H159" t="e" cm="1">
        <f t="array" ref="H159">_xlfn.TEXTSPLIT(E159,"/")</f>
        <v>#VALUE!</v>
      </c>
    </row>
    <row r="160" spans="2:8" x14ac:dyDescent="0.3">
      <c r="B160" t="str">
        <f>IF(COUNTIF(C160:I160,UI!B$2)=0,"/nope/",ROW(A160)-1)</f>
        <v>/nope/</v>
      </c>
      <c r="C160" s="1" t="str" cm="1">
        <f t="array" ref="C160">IF(A160="","",_xlfn.TEXTSPLIT(A160,","))</f>
        <v/>
      </c>
      <c r="G160" s="1" t="str">
        <f t="shared" si="2"/>
        <v/>
      </c>
      <c r="H160" t="e" cm="1">
        <f t="array" ref="H160">_xlfn.TEXTSPLIT(E160,"/")</f>
        <v>#VALUE!</v>
      </c>
    </row>
    <row r="161" spans="2:8" x14ac:dyDescent="0.3">
      <c r="B161" t="str">
        <f>IF(COUNTIF(C161:I161,UI!B$2)=0,"/nope/",ROW(A161)-1)</f>
        <v>/nope/</v>
      </c>
      <c r="C161" s="1" t="str" cm="1">
        <f t="array" ref="C161">IF(A161="","",_xlfn.TEXTSPLIT(A161,","))</f>
        <v/>
      </c>
      <c r="G161" s="1" t="str">
        <f t="shared" si="2"/>
        <v/>
      </c>
      <c r="H161" t="e" cm="1">
        <f t="array" ref="H161">_xlfn.TEXTSPLIT(E161,"/")</f>
        <v>#VALUE!</v>
      </c>
    </row>
    <row r="162" spans="2:8" x14ac:dyDescent="0.3">
      <c r="B162" t="str">
        <f>IF(COUNTIF(C162:I162,UI!B$2)=0,"/nope/",ROW(A162)-1)</f>
        <v>/nope/</v>
      </c>
      <c r="C162" s="1" t="str" cm="1">
        <f t="array" ref="C162">IF(A162="","",_xlfn.TEXTSPLIT(A162,","))</f>
        <v/>
      </c>
      <c r="G162" s="1" t="str">
        <f t="shared" si="2"/>
        <v/>
      </c>
      <c r="H162" t="e" cm="1">
        <f t="array" ref="H162">_xlfn.TEXTSPLIT(E162,"/")</f>
        <v>#VALUE!</v>
      </c>
    </row>
    <row r="163" spans="2:8" x14ac:dyDescent="0.3">
      <c r="B163" t="str">
        <f>IF(COUNTIF(C163:I163,UI!B$2)=0,"/nope/",ROW(A163)-1)</f>
        <v>/nope/</v>
      </c>
      <c r="C163" s="1" t="str" cm="1">
        <f t="array" ref="C163">IF(A163="","",_xlfn.TEXTSPLIT(A163,","))</f>
        <v/>
      </c>
      <c r="G163" s="1" t="str">
        <f t="shared" si="2"/>
        <v/>
      </c>
      <c r="H163" t="e" cm="1">
        <f t="array" ref="H163">_xlfn.TEXTSPLIT(E163,"/")</f>
        <v>#VALUE!</v>
      </c>
    </row>
    <row r="164" spans="2:8" x14ac:dyDescent="0.3">
      <c r="B164" t="str">
        <f>IF(COUNTIF(C164:I164,UI!B$2)=0,"/nope/",ROW(A164)-1)</f>
        <v>/nope/</v>
      </c>
      <c r="C164" s="1" t="str" cm="1">
        <f t="array" ref="C164">IF(A164="","",_xlfn.TEXTSPLIT(A164,","))</f>
        <v/>
      </c>
      <c r="G164" s="1" t="str">
        <f t="shared" si="2"/>
        <v/>
      </c>
      <c r="H164" t="e" cm="1">
        <f t="array" ref="H164">_xlfn.TEXTSPLIT(E164,"/")</f>
        <v>#VALUE!</v>
      </c>
    </row>
    <row r="165" spans="2:8" x14ac:dyDescent="0.3">
      <c r="B165" t="str">
        <f>IF(COUNTIF(C165:I165,UI!B$2)=0,"/nope/",ROW(A165)-1)</f>
        <v>/nope/</v>
      </c>
      <c r="C165" s="1" t="str" cm="1">
        <f t="array" ref="C165">IF(A165="","",_xlfn.TEXTSPLIT(A165,","))</f>
        <v/>
      </c>
      <c r="G165" s="1" t="str">
        <f t="shared" si="2"/>
        <v/>
      </c>
      <c r="H165" t="e" cm="1">
        <f t="array" ref="H165">_xlfn.TEXTSPLIT(E165,"/")</f>
        <v>#VALUE!</v>
      </c>
    </row>
    <row r="166" spans="2:8" x14ac:dyDescent="0.3">
      <c r="B166" t="str">
        <f>IF(COUNTIF(C166:I166,UI!B$2)=0,"/nope/",ROW(A166)-1)</f>
        <v>/nope/</v>
      </c>
      <c r="C166" s="1" t="str" cm="1">
        <f t="array" ref="C166">IF(A166="","",_xlfn.TEXTSPLIT(A166,","))</f>
        <v/>
      </c>
      <c r="G166" s="1" t="str">
        <f t="shared" si="2"/>
        <v/>
      </c>
      <c r="H166" t="e" cm="1">
        <f t="array" ref="H166">_xlfn.TEXTSPLIT(E166,"/")</f>
        <v>#VALUE!</v>
      </c>
    </row>
    <row r="167" spans="2:8" x14ac:dyDescent="0.3">
      <c r="B167" t="str">
        <f>IF(COUNTIF(C167:I167,UI!B$2)=0,"/nope/",ROW(A167)-1)</f>
        <v>/nope/</v>
      </c>
      <c r="C167" s="1" t="str" cm="1">
        <f t="array" ref="C167">IF(A167="","",_xlfn.TEXTSPLIT(A167,","))</f>
        <v/>
      </c>
      <c r="G167" s="1" t="str">
        <f t="shared" si="2"/>
        <v/>
      </c>
      <c r="H167" t="e" cm="1">
        <f t="array" ref="H167">_xlfn.TEXTSPLIT(E167,"/")</f>
        <v>#VALUE!</v>
      </c>
    </row>
    <row r="168" spans="2:8" x14ac:dyDescent="0.3">
      <c r="B168" t="str">
        <f>IF(COUNTIF(C168:I168,UI!B$2)=0,"/nope/",ROW(A168)-1)</f>
        <v>/nope/</v>
      </c>
      <c r="C168" s="1" t="str" cm="1">
        <f t="array" ref="C168">IF(A168="","",_xlfn.TEXTSPLIT(A168,","))</f>
        <v/>
      </c>
      <c r="G168" s="1" t="str">
        <f t="shared" si="2"/>
        <v/>
      </c>
      <c r="H168" t="e" cm="1">
        <f t="array" ref="H168">_xlfn.TEXTSPLIT(E168,"/")</f>
        <v>#VALUE!</v>
      </c>
    </row>
    <row r="169" spans="2:8" x14ac:dyDescent="0.3">
      <c r="B169" t="str">
        <f>IF(COUNTIF(C169:I169,UI!B$2)=0,"/nope/",ROW(A169)-1)</f>
        <v>/nope/</v>
      </c>
      <c r="C169" s="1" t="str" cm="1">
        <f t="array" ref="C169">IF(A169="","",_xlfn.TEXTSPLIT(A169,","))</f>
        <v/>
      </c>
      <c r="G169" s="1" t="str">
        <f t="shared" si="2"/>
        <v/>
      </c>
      <c r="H169" t="e" cm="1">
        <f t="array" ref="H169">_xlfn.TEXTSPLIT(E169,"/")</f>
        <v>#VALUE!</v>
      </c>
    </row>
    <row r="170" spans="2:8" x14ac:dyDescent="0.3">
      <c r="B170" t="str">
        <f>IF(COUNTIF(C170:I170,UI!B$2)=0,"/nope/",ROW(A170)-1)</f>
        <v>/nope/</v>
      </c>
      <c r="C170" s="1" t="str" cm="1">
        <f t="array" ref="C170">IF(A170="","",_xlfn.TEXTSPLIT(A170,","))</f>
        <v/>
      </c>
      <c r="G170" s="1" t="str">
        <f t="shared" si="2"/>
        <v/>
      </c>
      <c r="H170" t="e" cm="1">
        <f t="array" ref="H170">_xlfn.TEXTSPLIT(E170,"/")</f>
        <v>#VALUE!</v>
      </c>
    </row>
    <row r="171" spans="2:8" x14ac:dyDescent="0.3">
      <c r="B171" t="str">
        <f>IF(COUNTIF(C171:I171,UI!B$2)=0,"/nope/",ROW(A171)-1)</f>
        <v>/nope/</v>
      </c>
      <c r="C171" s="1" t="str" cm="1">
        <f t="array" ref="C171">IF(A171="","",_xlfn.TEXTSPLIT(A171,","))</f>
        <v/>
      </c>
      <c r="G171" s="1" t="str">
        <f t="shared" si="2"/>
        <v/>
      </c>
      <c r="H171" t="e" cm="1">
        <f t="array" ref="H171">_xlfn.TEXTSPLIT(E171,"/")</f>
        <v>#VALUE!</v>
      </c>
    </row>
    <row r="172" spans="2:8" x14ac:dyDescent="0.3">
      <c r="B172" t="str">
        <f>IF(COUNTIF(C172:I172,UI!B$2)=0,"/nope/",ROW(A172)-1)</f>
        <v>/nope/</v>
      </c>
      <c r="C172" s="1" t="str" cm="1">
        <f t="array" ref="C172">IF(A172="","",_xlfn.TEXTSPLIT(A172,","))</f>
        <v/>
      </c>
      <c r="G172" s="1" t="str">
        <f t="shared" si="2"/>
        <v/>
      </c>
      <c r="H172" t="e" cm="1">
        <f t="array" ref="H172">_xlfn.TEXTSPLIT(E172,"/")</f>
        <v>#VALUE!</v>
      </c>
    </row>
    <row r="173" spans="2:8" x14ac:dyDescent="0.3">
      <c r="B173" t="str">
        <f>IF(COUNTIF(C173:I173,UI!B$2)=0,"/nope/",ROW(A173)-1)</f>
        <v>/nope/</v>
      </c>
      <c r="C173" s="1" t="str" cm="1">
        <f t="array" ref="C173">IF(A173="","",_xlfn.TEXTSPLIT(A173,","))</f>
        <v/>
      </c>
      <c r="G173" s="1" t="str">
        <f t="shared" si="2"/>
        <v/>
      </c>
      <c r="H173" t="e" cm="1">
        <f t="array" ref="H173">_xlfn.TEXTSPLIT(E173,"/")</f>
        <v>#VALUE!</v>
      </c>
    </row>
    <row r="174" spans="2:8" x14ac:dyDescent="0.3">
      <c r="B174" t="str">
        <f>IF(COUNTIF(C174:I174,UI!B$2)=0,"/nope/",ROW(A174)-1)</f>
        <v>/nope/</v>
      </c>
      <c r="C174" s="1" t="str" cm="1">
        <f t="array" ref="C174">IF(A174="","",_xlfn.TEXTSPLIT(A174,","))</f>
        <v/>
      </c>
      <c r="G174" s="1" t="str">
        <f t="shared" si="2"/>
        <v/>
      </c>
      <c r="H174" t="e" cm="1">
        <f t="array" ref="H174">_xlfn.TEXTSPLIT(E174,"/")</f>
        <v>#VALUE!</v>
      </c>
    </row>
    <row r="175" spans="2:8" x14ac:dyDescent="0.3">
      <c r="B175" t="str">
        <f>IF(COUNTIF(C175:I175,UI!B$2)=0,"/nope/",ROW(A175)-1)</f>
        <v>/nope/</v>
      </c>
      <c r="C175" s="1" t="str" cm="1">
        <f t="array" ref="C175">IF(A175="","",_xlfn.TEXTSPLIT(A175,","))</f>
        <v/>
      </c>
      <c r="G175" s="1" t="str">
        <f t="shared" si="2"/>
        <v/>
      </c>
      <c r="H175" t="e" cm="1">
        <f t="array" ref="H175">_xlfn.TEXTSPLIT(E175,"/")</f>
        <v>#VALUE!</v>
      </c>
    </row>
    <row r="176" spans="2:8" x14ac:dyDescent="0.3">
      <c r="B176" t="str">
        <f>IF(COUNTIF(C176:I176,UI!B$2)=0,"/nope/",ROW(A176)-1)</f>
        <v>/nope/</v>
      </c>
      <c r="C176" s="1" t="str" cm="1">
        <f t="array" ref="C176">IF(A176="","",_xlfn.TEXTSPLIT(A176,","))</f>
        <v/>
      </c>
      <c r="G176" s="1" t="str">
        <f t="shared" si="2"/>
        <v/>
      </c>
      <c r="H176" t="e" cm="1">
        <f t="array" ref="H176">_xlfn.TEXTSPLIT(E176,"/")</f>
        <v>#VALUE!</v>
      </c>
    </row>
    <row r="177" spans="2:8" x14ac:dyDescent="0.3">
      <c r="B177" t="str">
        <f>IF(COUNTIF(C177:I177,UI!B$2)=0,"/nope/",ROW(A177)-1)</f>
        <v>/nope/</v>
      </c>
      <c r="C177" s="1" t="str" cm="1">
        <f t="array" ref="C177">IF(A177="","",_xlfn.TEXTSPLIT(A177,","))</f>
        <v/>
      </c>
      <c r="G177" s="1" t="str">
        <f t="shared" si="2"/>
        <v/>
      </c>
      <c r="H177" t="e" cm="1">
        <f t="array" ref="H177">_xlfn.TEXTSPLIT(E177,"/")</f>
        <v>#VALUE!</v>
      </c>
    </row>
    <row r="178" spans="2:8" x14ac:dyDescent="0.3">
      <c r="B178" t="str">
        <f>IF(COUNTIF(C178:I178,UI!B$2)=0,"/nope/",ROW(A178)-1)</f>
        <v>/nope/</v>
      </c>
      <c r="C178" s="1" t="str" cm="1">
        <f t="array" ref="C178">IF(A178="","",_xlfn.TEXTSPLIT(A178,","))</f>
        <v/>
      </c>
      <c r="G178" s="1" t="str">
        <f t="shared" si="2"/>
        <v/>
      </c>
      <c r="H178" t="e" cm="1">
        <f t="array" ref="H178">_xlfn.TEXTSPLIT(E178,"/")</f>
        <v>#VALUE!</v>
      </c>
    </row>
    <row r="179" spans="2:8" x14ac:dyDescent="0.3">
      <c r="B179" t="str">
        <f>IF(COUNTIF(C179:I179,UI!B$2)=0,"/nope/",ROW(A179)-1)</f>
        <v>/nope/</v>
      </c>
      <c r="C179" s="1" t="str" cm="1">
        <f t="array" ref="C179">IF(A179="","",_xlfn.TEXTSPLIT(A179,","))</f>
        <v/>
      </c>
      <c r="G179" s="1" t="str">
        <f t="shared" si="2"/>
        <v/>
      </c>
      <c r="H179" t="e" cm="1">
        <f t="array" ref="H179">_xlfn.TEXTSPLIT(E179,"/")</f>
        <v>#VALUE!</v>
      </c>
    </row>
    <row r="180" spans="2:8" x14ac:dyDescent="0.3">
      <c r="B180" t="str">
        <f>IF(COUNTIF(C180:I180,UI!B$2)=0,"/nope/",ROW(A180)-1)</f>
        <v>/nope/</v>
      </c>
      <c r="C180" s="1" t="str" cm="1">
        <f t="array" ref="C180">IF(A180="","",_xlfn.TEXTSPLIT(A180,","))</f>
        <v/>
      </c>
      <c r="G180" s="1" t="str">
        <f t="shared" si="2"/>
        <v/>
      </c>
      <c r="H180" t="e" cm="1">
        <f t="array" ref="H180">_xlfn.TEXTSPLIT(E180,"/")</f>
        <v>#VALUE!</v>
      </c>
    </row>
    <row r="181" spans="2:8" x14ac:dyDescent="0.3">
      <c r="B181" t="str">
        <f>IF(COUNTIF(C181:I181,UI!B$2)=0,"/nope/",ROW(A181)-1)</f>
        <v>/nope/</v>
      </c>
      <c r="C181" s="1" t="str" cm="1">
        <f t="array" ref="C181">IF(A181="","",_xlfn.TEXTSPLIT(A181,","))</f>
        <v/>
      </c>
      <c r="G181" s="1" t="str">
        <f t="shared" si="2"/>
        <v/>
      </c>
      <c r="H181" t="e" cm="1">
        <f t="array" ref="H181">_xlfn.TEXTSPLIT(E181,"/")</f>
        <v>#VALUE!</v>
      </c>
    </row>
    <row r="182" spans="2:8" x14ac:dyDescent="0.3">
      <c r="B182" t="str">
        <f>IF(COUNTIF(C182:I182,UI!B$2)=0,"/nope/",ROW(A182)-1)</f>
        <v>/nope/</v>
      </c>
      <c r="C182" s="1" t="str" cm="1">
        <f t="array" ref="C182">IF(A182="","",_xlfn.TEXTSPLIT(A182,","))</f>
        <v/>
      </c>
      <c r="G182" s="1" t="str">
        <f t="shared" si="2"/>
        <v/>
      </c>
      <c r="H182" t="e" cm="1">
        <f t="array" ref="H182">_xlfn.TEXTSPLIT(E182,"/")</f>
        <v>#VALUE!</v>
      </c>
    </row>
    <row r="183" spans="2:8" x14ac:dyDescent="0.3">
      <c r="B183" t="str">
        <f>IF(COUNTIF(C183:I183,UI!B$2)=0,"/nope/",ROW(A183)-1)</f>
        <v>/nope/</v>
      </c>
      <c r="C183" s="1" t="str" cm="1">
        <f t="array" ref="C183">IF(A183="","",_xlfn.TEXTSPLIT(A183,","))</f>
        <v/>
      </c>
      <c r="G183" s="1" t="str">
        <f t="shared" si="2"/>
        <v/>
      </c>
      <c r="H183" t="e" cm="1">
        <f t="array" ref="H183">_xlfn.TEXTSPLIT(E183,"/")</f>
        <v>#VALUE!</v>
      </c>
    </row>
    <row r="184" spans="2:8" x14ac:dyDescent="0.3">
      <c r="B184" t="str">
        <f>IF(COUNTIF(C184:I184,UI!B$2)=0,"/nope/",ROW(A184)-1)</f>
        <v>/nope/</v>
      </c>
      <c r="C184" s="1" t="str" cm="1">
        <f t="array" ref="C184">IF(A184="","",_xlfn.TEXTSPLIT(A184,","))</f>
        <v/>
      </c>
      <c r="G184" s="1" t="str">
        <f t="shared" si="2"/>
        <v/>
      </c>
      <c r="H184" t="e" cm="1">
        <f t="array" ref="H184">_xlfn.TEXTSPLIT(E184,"/")</f>
        <v>#VALUE!</v>
      </c>
    </row>
    <row r="185" spans="2:8" x14ac:dyDescent="0.3">
      <c r="B185" t="str">
        <f>IF(COUNTIF(C185:I185,UI!B$2)=0,"/nope/",ROW(A185)-1)</f>
        <v>/nope/</v>
      </c>
      <c r="C185" s="1" t="str" cm="1">
        <f t="array" ref="C185">IF(A185="","",_xlfn.TEXTSPLIT(A185,","))</f>
        <v/>
      </c>
      <c r="G185" s="1" t="str">
        <f t="shared" si="2"/>
        <v/>
      </c>
      <c r="H185" t="e" cm="1">
        <f t="array" ref="H185">_xlfn.TEXTSPLIT(E185,"/")</f>
        <v>#VALUE!</v>
      </c>
    </row>
    <row r="186" spans="2:8" x14ac:dyDescent="0.3">
      <c r="B186" t="str">
        <f>IF(COUNTIF(C186:I186,UI!B$2)=0,"/nope/",ROW(A186)-1)</f>
        <v>/nope/</v>
      </c>
      <c r="C186" s="1" t="str" cm="1">
        <f t="array" ref="C186">IF(A186="","",_xlfn.TEXTSPLIT(A186,","))</f>
        <v/>
      </c>
      <c r="G186" s="1" t="str">
        <f t="shared" si="2"/>
        <v/>
      </c>
      <c r="H186" t="e" cm="1">
        <f t="array" ref="H186">_xlfn.TEXTSPLIT(E186,"/")</f>
        <v>#VALUE!</v>
      </c>
    </row>
    <row r="187" spans="2:8" x14ac:dyDescent="0.3">
      <c r="B187" t="str">
        <f>IF(COUNTIF(C187:I187,UI!B$2)=0,"/nope/",ROW(A187)-1)</f>
        <v>/nope/</v>
      </c>
      <c r="C187" s="1" t="str" cm="1">
        <f t="array" ref="C187">IF(A187="","",_xlfn.TEXTSPLIT(A187,","))</f>
        <v/>
      </c>
      <c r="G187" s="1" t="str">
        <f t="shared" si="2"/>
        <v/>
      </c>
      <c r="H187" t="e" cm="1">
        <f t="array" ref="H187">_xlfn.TEXTSPLIT(E187,"/")</f>
        <v>#VALUE!</v>
      </c>
    </row>
    <row r="188" spans="2:8" x14ac:dyDescent="0.3">
      <c r="B188" t="str">
        <f>IF(COUNTIF(C188:I188,UI!B$2)=0,"/nope/",ROW(A188)-1)</f>
        <v>/nope/</v>
      </c>
      <c r="C188" s="1" t="str" cm="1">
        <f t="array" ref="C188">IF(A188="","",_xlfn.TEXTSPLIT(A188,","))</f>
        <v/>
      </c>
      <c r="G188" s="1" t="str">
        <f t="shared" si="2"/>
        <v/>
      </c>
      <c r="H188" t="e" cm="1">
        <f t="array" ref="H188">_xlfn.TEXTSPLIT(E188,"/")</f>
        <v>#VALUE!</v>
      </c>
    </row>
    <row r="189" spans="2:8" x14ac:dyDescent="0.3">
      <c r="B189" t="str">
        <f>IF(COUNTIF(C189:I189,UI!B$2)=0,"/nope/",ROW(A189)-1)</f>
        <v>/nope/</v>
      </c>
      <c r="C189" s="1" t="str" cm="1">
        <f t="array" ref="C189">IF(A189="","",_xlfn.TEXTSPLIT(A189,","))</f>
        <v/>
      </c>
      <c r="G189" s="1" t="str">
        <f t="shared" si="2"/>
        <v/>
      </c>
      <c r="H189" t="e" cm="1">
        <f t="array" ref="H189">_xlfn.TEXTSPLIT(E189,"/")</f>
        <v>#VALUE!</v>
      </c>
    </row>
    <row r="190" spans="2:8" x14ac:dyDescent="0.3">
      <c r="B190" t="str">
        <f>IF(COUNTIF(C190:I190,UI!B$2)=0,"/nope/",ROW(A190)-1)</f>
        <v>/nope/</v>
      </c>
      <c r="C190" s="1" t="str" cm="1">
        <f t="array" ref="C190">IF(A190="","",_xlfn.TEXTSPLIT(A190,","))</f>
        <v/>
      </c>
      <c r="G190" s="1" t="str">
        <f t="shared" si="2"/>
        <v/>
      </c>
      <c r="H190" t="e" cm="1">
        <f t="array" ref="H190">_xlfn.TEXTSPLIT(E190,"/")</f>
        <v>#VALUE!</v>
      </c>
    </row>
    <row r="191" spans="2:8" x14ac:dyDescent="0.3">
      <c r="B191" t="str">
        <f>IF(COUNTIF(C191:I191,UI!B$2)=0,"/nope/",ROW(A191)-1)</f>
        <v>/nope/</v>
      </c>
      <c r="C191" s="1" t="str" cm="1">
        <f t="array" ref="C191">IF(A191="","",_xlfn.TEXTSPLIT(A191,","))</f>
        <v/>
      </c>
      <c r="G191" s="1" t="str">
        <f t="shared" si="2"/>
        <v/>
      </c>
      <c r="H191" t="e" cm="1">
        <f t="array" ref="H191">_xlfn.TEXTSPLIT(E191,"/")</f>
        <v>#VALUE!</v>
      </c>
    </row>
    <row r="192" spans="2:8" x14ac:dyDescent="0.3">
      <c r="B192" t="str">
        <f>IF(COUNTIF(C192:I192,UI!B$2)=0,"/nope/",ROW(A192)-1)</f>
        <v>/nope/</v>
      </c>
      <c r="C192" s="1" t="str" cm="1">
        <f t="array" ref="C192">IF(A192="","",_xlfn.TEXTSPLIT(A192,","))</f>
        <v/>
      </c>
      <c r="G192" s="1" t="str">
        <f t="shared" si="2"/>
        <v/>
      </c>
      <c r="H192" t="e" cm="1">
        <f t="array" ref="H192">_xlfn.TEXTSPLIT(E192,"/")</f>
        <v>#VALUE!</v>
      </c>
    </row>
    <row r="193" spans="2:8" x14ac:dyDescent="0.3">
      <c r="B193" t="str">
        <f>IF(COUNTIF(C193:I193,UI!B$2)=0,"/nope/",ROW(A193)-1)</f>
        <v>/nope/</v>
      </c>
      <c r="C193" s="1" t="str" cm="1">
        <f t="array" ref="C193">IF(A193="","",_xlfn.TEXTSPLIT(A193,","))</f>
        <v/>
      </c>
      <c r="G193" s="1" t="str">
        <f t="shared" si="2"/>
        <v/>
      </c>
      <c r="H193" t="e" cm="1">
        <f t="array" ref="H193">_xlfn.TEXTSPLIT(E193,"/")</f>
        <v>#VALUE!</v>
      </c>
    </row>
    <row r="194" spans="2:8" x14ac:dyDescent="0.3">
      <c r="B194" t="str">
        <f>IF(COUNTIF(C194:I194,UI!B$2)=0,"/nope/",ROW(A194)-1)</f>
        <v>/nope/</v>
      </c>
      <c r="C194" s="1" t="str" cm="1">
        <f t="array" ref="C194">IF(A194="","",_xlfn.TEXTSPLIT(A194,","))</f>
        <v/>
      </c>
      <c r="G194" s="1" t="str">
        <f t="shared" ref="G194:G257" si="3">IF(E194="","",IF(I194="",E194,""))</f>
        <v/>
      </c>
      <c r="H194" t="e" cm="1">
        <f t="array" ref="H194">_xlfn.TEXTSPLIT(E194,"/")</f>
        <v>#VALUE!</v>
      </c>
    </row>
    <row r="195" spans="2:8" x14ac:dyDescent="0.3">
      <c r="B195" t="str">
        <f>IF(COUNTIF(C195:I195,UI!B$2)=0,"/nope/",ROW(A195)-1)</f>
        <v>/nope/</v>
      </c>
      <c r="C195" s="1" t="str" cm="1">
        <f t="array" ref="C195">IF(A195="","",_xlfn.TEXTSPLIT(A195,","))</f>
        <v/>
      </c>
      <c r="G195" s="1" t="str">
        <f t="shared" si="3"/>
        <v/>
      </c>
      <c r="H195" t="e" cm="1">
        <f t="array" ref="H195">_xlfn.TEXTSPLIT(E195,"/")</f>
        <v>#VALUE!</v>
      </c>
    </row>
    <row r="196" spans="2:8" x14ac:dyDescent="0.3">
      <c r="B196" t="str">
        <f>IF(COUNTIF(C196:I196,UI!B$2)=0,"/nope/",ROW(A196)-1)</f>
        <v>/nope/</v>
      </c>
      <c r="C196" s="1" t="str" cm="1">
        <f t="array" ref="C196">IF(A196="","",_xlfn.TEXTSPLIT(A196,","))</f>
        <v/>
      </c>
      <c r="G196" s="1" t="str">
        <f t="shared" si="3"/>
        <v/>
      </c>
      <c r="H196" t="e" cm="1">
        <f t="array" ref="H196">_xlfn.TEXTSPLIT(E196,"/")</f>
        <v>#VALUE!</v>
      </c>
    </row>
    <row r="197" spans="2:8" x14ac:dyDescent="0.3">
      <c r="B197" t="str">
        <f>IF(COUNTIF(C197:I197,UI!B$2)=0,"/nope/",ROW(A197)-1)</f>
        <v>/nope/</v>
      </c>
      <c r="C197" s="1" t="str" cm="1">
        <f t="array" ref="C197">IF(A197="","",_xlfn.TEXTSPLIT(A197,","))</f>
        <v/>
      </c>
      <c r="G197" s="1" t="str">
        <f t="shared" si="3"/>
        <v/>
      </c>
      <c r="H197" t="e" cm="1">
        <f t="array" ref="H197">_xlfn.TEXTSPLIT(E197,"/")</f>
        <v>#VALUE!</v>
      </c>
    </row>
    <row r="198" spans="2:8" x14ac:dyDescent="0.3">
      <c r="B198" t="str">
        <f>IF(COUNTIF(C198:I198,UI!B$2)=0,"/nope/",ROW(A198)-1)</f>
        <v>/nope/</v>
      </c>
      <c r="C198" s="1" t="str" cm="1">
        <f t="array" ref="C198">IF(A198="","",_xlfn.TEXTSPLIT(A198,","))</f>
        <v/>
      </c>
      <c r="G198" s="1" t="str">
        <f t="shared" si="3"/>
        <v/>
      </c>
      <c r="H198" t="e" cm="1">
        <f t="array" ref="H198">_xlfn.TEXTSPLIT(E198,"/")</f>
        <v>#VALUE!</v>
      </c>
    </row>
    <row r="199" spans="2:8" x14ac:dyDescent="0.3">
      <c r="B199" t="str">
        <f>IF(COUNTIF(C199:I199,UI!B$2)=0,"/nope/",ROW(A199)-1)</f>
        <v>/nope/</v>
      </c>
      <c r="C199" s="1" t="str" cm="1">
        <f t="array" ref="C199">IF(A199="","",_xlfn.TEXTSPLIT(A199,","))</f>
        <v/>
      </c>
      <c r="G199" s="1" t="str">
        <f t="shared" si="3"/>
        <v/>
      </c>
      <c r="H199" t="e" cm="1">
        <f t="array" ref="H199">_xlfn.TEXTSPLIT(E199,"/")</f>
        <v>#VALUE!</v>
      </c>
    </row>
    <row r="200" spans="2:8" x14ac:dyDescent="0.3">
      <c r="B200" t="str">
        <f>IF(COUNTIF(C200:I200,UI!B$2)=0,"/nope/",ROW(A200)-1)</f>
        <v>/nope/</v>
      </c>
      <c r="C200" s="1" t="str" cm="1">
        <f t="array" ref="C200">IF(A200="","",_xlfn.TEXTSPLIT(A200,","))</f>
        <v/>
      </c>
      <c r="G200" s="1" t="str">
        <f t="shared" si="3"/>
        <v/>
      </c>
      <c r="H200" t="e" cm="1">
        <f t="array" ref="H200">_xlfn.TEXTSPLIT(E200,"/")</f>
        <v>#VALUE!</v>
      </c>
    </row>
    <row r="201" spans="2:8" x14ac:dyDescent="0.3">
      <c r="B201" t="str">
        <f>IF(COUNTIF(C201:I201,UI!B$2)=0,"/nope/",ROW(A201)-1)</f>
        <v>/nope/</v>
      </c>
      <c r="C201" s="1" t="str" cm="1">
        <f t="array" ref="C201">IF(A201="","",_xlfn.TEXTSPLIT(A201,","))</f>
        <v/>
      </c>
      <c r="G201" s="1" t="str">
        <f t="shared" si="3"/>
        <v/>
      </c>
      <c r="H201" t="e" cm="1">
        <f t="array" ref="H201">_xlfn.TEXTSPLIT(E201,"/")</f>
        <v>#VALUE!</v>
      </c>
    </row>
    <row r="202" spans="2:8" x14ac:dyDescent="0.3">
      <c r="B202" t="str">
        <f>IF(COUNTIF(C202:I202,UI!B$2)=0,"/nope/",ROW(A202)-1)</f>
        <v>/nope/</v>
      </c>
      <c r="C202" s="1" t="str" cm="1">
        <f t="array" ref="C202">IF(A202="","",_xlfn.TEXTSPLIT(A202,","))</f>
        <v/>
      </c>
      <c r="G202" s="1" t="str">
        <f t="shared" si="3"/>
        <v/>
      </c>
      <c r="H202" t="e" cm="1">
        <f t="array" ref="H202">_xlfn.TEXTSPLIT(E202,"/")</f>
        <v>#VALUE!</v>
      </c>
    </row>
    <row r="203" spans="2:8" x14ac:dyDescent="0.3">
      <c r="B203" t="str">
        <f>IF(COUNTIF(C203:I203,UI!B$2)=0,"/nope/",ROW(A203)-1)</f>
        <v>/nope/</v>
      </c>
      <c r="C203" s="1" t="str" cm="1">
        <f t="array" ref="C203">IF(A203="","",_xlfn.TEXTSPLIT(A203,","))</f>
        <v/>
      </c>
      <c r="G203" s="1" t="str">
        <f t="shared" si="3"/>
        <v/>
      </c>
      <c r="H203" t="e" cm="1">
        <f t="array" ref="H203">_xlfn.TEXTSPLIT(E203,"/")</f>
        <v>#VALUE!</v>
      </c>
    </row>
    <row r="204" spans="2:8" x14ac:dyDescent="0.3">
      <c r="B204" t="str">
        <f>IF(COUNTIF(C204:I204,UI!B$2)=0,"/nope/",ROW(A204)-1)</f>
        <v>/nope/</v>
      </c>
      <c r="C204" s="1" t="str" cm="1">
        <f t="array" ref="C204">IF(A204="","",_xlfn.TEXTSPLIT(A204,","))</f>
        <v/>
      </c>
      <c r="G204" s="1" t="str">
        <f t="shared" si="3"/>
        <v/>
      </c>
      <c r="H204" t="e" cm="1">
        <f t="array" ref="H204">_xlfn.TEXTSPLIT(E204,"/")</f>
        <v>#VALUE!</v>
      </c>
    </row>
    <row r="205" spans="2:8" x14ac:dyDescent="0.3">
      <c r="B205" t="str">
        <f>IF(COUNTIF(C205:I205,UI!B$2)=0,"/nope/",ROW(A205)-1)</f>
        <v>/nope/</v>
      </c>
      <c r="C205" s="1" t="str" cm="1">
        <f t="array" ref="C205">IF(A205="","",_xlfn.TEXTSPLIT(A205,","))</f>
        <v/>
      </c>
      <c r="G205" s="1" t="str">
        <f t="shared" si="3"/>
        <v/>
      </c>
      <c r="H205" t="e" cm="1">
        <f t="array" ref="H205">_xlfn.TEXTSPLIT(E205,"/")</f>
        <v>#VALUE!</v>
      </c>
    </row>
    <row r="206" spans="2:8" x14ac:dyDescent="0.3">
      <c r="B206" t="str">
        <f>IF(COUNTIF(C206:I206,UI!B$2)=0,"/nope/",ROW(A206)-1)</f>
        <v>/nope/</v>
      </c>
      <c r="C206" s="1" t="str" cm="1">
        <f t="array" ref="C206">IF(A206="","",_xlfn.TEXTSPLIT(A206,","))</f>
        <v/>
      </c>
      <c r="G206" s="1" t="str">
        <f t="shared" si="3"/>
        <v/>
      </c>
      <c r="H206" t="e" cm="1">
        <f t="array" ref="H206">_xlfn.TEXTSPLIT(E206,"/")</f>
        <v>#VALUE!</v>
      </c>
    </row>
    <row r="207" spans="2:8" x14ac:dyDescent="0.3">
      <c r="B207" t="str">
        <f>IF(COUNTIF(C207:I207,UI!B$2)=0,"/nope/",ROW(A207)-1)</f>
        <v>/nope/</v>
      </c>
      <c r="C207" s="1" t="str" cm="1">
        <f t="array" ref="C207">IF(A207="","",_xlfn.TEXTSPLIT(A207,","))</f>
        <v/>
      </c>
      <c r="G207" s="1" t="str">
        <f t="shared" si="3"/>
        <v/>
      </c>
      <c r="H207" t="e" cm="1">
        <f t="array" ref="H207">_xlfn.TEXTSPLIT(E207,"/")</f>
        <v>#VALUE!</v>
      </c>
    </row>
    <row r="208" spans="2:8" x14ac:dyDescent="0.3">
      <c r="B208" t="str">
        <f>IF(COUNTIF(C208:I208,UI!B$2)=0,"/nope/",ROW(A208)-1)</f>
        <v>/nope/</v>
      </c>
      <c r="C208" s="1" t="str" cm="1">
        <f t="array" ref="C208">IF(A208="","",_xlfn.TEXTSPLIT(A208,","))</f>
        <v/>
      </c>
      <c r="G208" s="1" t="str">
        <f t="shared" si="3"/>
        <v/>
      </c>
      <c r="H208" t="e" cm="1">
        <f t="array" ref="H208">_xlfn.TEXTSPLIT(E208,"/")</f>
        <v>#VALUE!</v>
      </c>
    </row>
    <row r="209" spans="2:8" x14ac:dyDescent="0.3">
      <c r="B209" t="str">
        <f>IF(COUNTIF(C209:I209,UI!B$2)=0,"/nope/",ROW(A209)-1)</f>
        <v>/nope/</v>
      </c>
      <c r="C209" s="1" t="str" cm="1">
        <f t="array" ref="C209">IF(A209="","",_xlfn.TEXTSPLIT(A209,","))</f>
        <v/>
      </c>
      <c r="G209" s="1" t="str">
        <f t="shared" si="3"/>
        <v/>
      </c>
      <c r="H209" t="e" cm="1">
        <f t="array" ref="H209">_xlfn.TEXTSPLIT(E209,"/")</f>
        <v>#VALUE!</v>
      </c>
    </row>
    <row r="210" spans="2:8" x14ac:dyDescent="0.3">
      <c r="B210" t="str">
        <f>IF(COUNTIF(C210:I210,UI!B$2)=0,"/nope/",ROW(A210)-1)</f>
        <v>/nope/</v>
      </c>
      <c r="C210" s="1" t="str" cm="1">
        <f t="array" ref="C210">IF(A210="","",_xlfn.TEXTSPLIT(A210,","))</f>
        <v/>
      </c>
      <c r="G210" s="1" t="str">
        <f t="shared" si="3"/>
        <v/>
      </c>
      <c r="H210" t="e" cm="1">
        <f t="array" ref="H210">_xlfn.TEXTSPLIT(E210,"/")</f>
        <v>#VALUE!</v>
      </c>
    </row>
    <row r="211" spans="2:8" x14ac:dyDescent="0.3">
      <c r="B211" t="str">
        <f>IF(COUNTIF(C211:I211,UI!B$2)=0,"/nope/",ROW(A211)-1)</f>
        <v>/nope/</v>
      </c>
      <c r="C211" s="1" t="str" cm="1">
        <f t="array" ref="C211">IF(A211="","",_xlfn.TEXTSPLIT(A211,","))</f>
        <v/>
      </c>
      <c r="G211" s="1" t="str">
        <f t="shared" si="3"/>
        <v/>
      </c>
      <c r="H211" t="e" cm="1">
        <f t="array" ref="H211">_xlfn.TEXTSPLIT(E211,"/")</f>
        <v>#VALUE!</v>
      </c>
    </row>
    <row r="212" spans="2:8" x14ac:dyDescent="0.3">
      <c r="B212" t="str">
        <f>IF(COUNTIF(C212:I212,UI!B$2)=0,"/nope/",ROW(A212)-1)</f>
        <v>/nope/</v>
      </c>
      <c r="C212" s="1" t="str" cm="1">
        <f t="array" ref="C212">IF(A212="","",_xlfn.TEXTSPLIT(A212,","))</f>
        <v/>
      </c>
      <c r="G212" s="1" t="str">
        <f t="shared" si="3"/>
        <v/>
      </c>
      <c r="H212" t="e" cm="1">
        <f t="array" ref="H212">_xlfn.TEXTSPLIT(E212,"/")</f>
        <v>#VALUE!</v>
      </c>
    </row>
    <row r="213" spans="2:8" x14ac:dyDescent="0.3">
      <c r="B213" t="str">
        <f>IF(COUNTIF(C213:I213,UI!B$2)=0,"/nope/",ROW(A213)-1)</f>
        <v>/nope/</v>
      </c>
      <c r="C213" s="1" t="str" cm="1">
        <f t="array" ref="C213">IF(A213="","",_xlfn.TEXTSPLIT(A213,","))</f>
        <v/>
      </c>
      <c r="G213" s="1" t="str">
        <f t="shared" si="3"/>
        <v/>
      </c>
      <c r="H213" t="e" cm="1">
        <f t="array" ref="H213">_xlfn.TEXTSPLIT(E213,"/")</f>
        <v>#VALUE!</v>
      </c>
    </row>
    <row r="214" spans="2:8" x14ac:dyDescent="0.3">
      <c r="B214" t="str">
        <f>IF(COUNTIF(C214:I214,UI!B$2)=0,"/nope/",ROW(A214)-1)</f>
        <v>/nope/</v>
      </c>
      <c r="C214" s="1" t="str" cm="1">
        <f t="array" ref="C214">IF(A214="","",_xlfn.TEXTSPLIT(A214,","))</f>
        <v/>
      </c>
      <c r="G214" s="1" t="str">
        <f t="shared" si="3"/>
        <v/>
      </c>
      <c r="H214" t="e" cm="1">
        <f t="array" ref="H214">_xlfn.TEXTSPLIT(E214,"/")</f>
        <v>#VALUE!</v>
      </c>
    </row>
    <row r="215" spans="2:8" x14ac:dyDescent="0.3">
      <c r="B215" t="str">
        <f>IF(COUNTIF(C215:I215,UI!B$2)=0,"/nope/",ROW(A215)-1)</f>
        <v>/nope/</v>
      </c>
      <c r="C215" s="1" t="str" cm="1">
        <f t="array" ref="C215">IF(A215="","",_xlfn.TEXTSPLIT(A215,","))</f>
        <v/>
      </c>
      <c r="G215" s="1" t="str">
        <f t="shared" si="3"/>
        <v/>
      </c>
      <c r="H215" t="e" cm="1">
        <f t="array" ref="H215">_xlfn.TEXTSPLIT(E215,"/")</f>
        <v>#VALUE!</v>
      </c>
    </row>
    <row r="216" spans="2:8" x14ac:dyDescent="0.3">
      <c r="B216" t="str">
        <f>IF(COUNTIF(C216:I216,UI!B$2)=0,"/nope/",ROW(A216)-1)</f>
        <v>/nope/</v>
      </c>
      <c r="C216" s="1" t="str" cm="1">
        <f t="array" ref="C216">IF(A216="","",_xlfn.TEXTSPLIT(A216,","))</f>
        <v/>
      </c>
      <c r="G216" s="1" t="str">
        <f t="shared" si="3"/>
        <v/>
      </c>
      <c r="H216" t="e" cm="1">
        <f t="array" ref="H216">_xlfn.TEXTSPLIT(E216,"/")</f>
        <v>#VALUE!</v>
      </c>
    </row>
    <row r="217" spans="2:8" x14ac:dyDescent="0.3">
      <c r="B217" t="str">
        <f>IF(COUNTIF(C217:I217,UI!B$2)=0,"/nope/",ROW(A217)-1)</f>
        <v>/nope/</v>
      </c>
      <c r="C217" s="1" t="str" cm="1">
        <f t="array" ref="C217">IF(A217="","",_xlfn.TEXTSPLIT(A217,","))</f>
        <v/>
      </c>
      <c r="G217" s="1" t="str">
        <f t="shared" si="3"/>
        <v/>
      </c>
      <c r="H217" t="e" cm="1">
        <f t="array" ref="H217">_xlfn.TEXTSPLIT(E217,"/")</f>
        <v>#VALUE!</v>
      </c>
    </row>
    <row r="218" spans="2:8" x14ac:dyDescent="0.3">
      <c r="B218" t="str">
        <f>IF(COUNTIF(C218:I218,UI!B$2)=0,"/nope/",ROW(A218)-1)</f>
        <v>/nope/</v>
      </c>
      <c r="C218" s="1" t="str" cm="1">
        <f t="array" ref="C218">IF(A218="","",_xlfn.TEXTSPLIT(A218,","))</f>
        <v/>
      </c>
      <c r="G218" s="1" t="str">
        <f t="shared" si="3"/>
        <v/>
      </c>
      <c r="H218" t="e" cm="1">
        <f t="array" ref="H218">_xlfn.TEXTSPLIT(E218,"/")</f>
        <v>#VALUE!</v>
      </c>
    </row>
    <row r="219" spans="2:8" x14ac:dyDescent="0.3">
      <c r="B219" t="str">
        <f>IF(COUNTIF(C219:I219,UI!B$2)=0,"/nope/",ROW(A219)-1)</f>
        <v>/nope/</v>
      </c>
      <c r="C219" s="1" t="str" cm="1">
        <f t="array" ref="C219">IF(A219="","",_xlfn.TEXTSPLIT(A219,","))</f>
        <v/>
      </c>
      <c r="G219" s="1" t="str">
        <f t="shared" si="3"/>
        <v/>
      </c>
      <c r="H219" t="e" cm="1">
        <f t="array" ref="H219">_xlfn.TEXTSPLIT(E219,"/")</f>
        <v>#VALUE!</v>
      </c>
    </row>
    <row r="220" spans="2:8" x14ac:dyDescent="0.3">
      <c r="B220" t="str">
        <f>IF(COUNTIF(C220:I220,UI!B$2)=0,"/nope/",ROW(A220)-1)</f>
        <v>/nope/</v>
      </c>
      <c r="C220" s="1" t="str" cm="1">
        <f t="array" ref="C220">IF(A220="","",_xlfn.TEXTSPLIT(A220,","))</f>
        <v/>
      </c>
      <c r="G220" s="1" t="str">
        <f t="shared" si="3"/>
        <v/>
      </c>
      <c r="H220" t="e" cm="1">
        <f t="array" ref="H220">_xlfn.TEXTSPLIT(E220,"/")</f>
        <v>#VALUE!</v>
      </c>
    </row>
    <row r="221" spans="2:8" x14ac:dyDescent="0.3">
      <c r="B221" t="str">
        <f>IF(COUNTIF(C221:I221,UI!B$2)=0,"/nope/",ROW(A221)-1)</f>
        <v>/nope/</v>
      </c>
      <c r="C221" s="1" t="str" cm="1">
        <f t="array" ref="C221">IF(A221="","",_xlfn.TEXTSPLIT(A221,","))</f>
        <v/>
      </c>
      <c r="G221" s="1" t="str">
        <f t="shared" si="3"/>
        <v/>
      </c>
      <c r="H221" t="e" cm="1">
        <f t="array" ref="H221">_xlfn.TEXTSPLIT(E221,"/")</f>
        <v>#VALUE!</v>
      </c>
    </row>
    <row r="222" spans="2:8" x14ac:dyDescent="0.3">
      <c r="B222" t="str">
        <f>IF(COUNTIF(C222:I222,UI!B$2)=0,"/nope/",ROW(A222)-1)</f>
        <v>/nope/</v>
      </c>
      <c r="C222" s="1" t="str" cm="1">
        <f t="array" ref="C222">IF(A222="","",_xlfn.TEXTSPLIT(A222,","))</f>
        <v/>
      </c>
      <c r="G222" s="1" t="str">
        <f t="shared" si="3"/>
        <v/>
      </c>
      <c r="H222" t="e" cm="1">
        <f t="array" ref="H222">_xlfn.TEXTSPLIT(E222,"/")</f>
        <v>#VALUE!</v>
      </c>
    </row>
    <row r="223" spans="2:8" x14ac:dyDescent="0.3">
      <c r="B223" t="str">
        <f>IF(COUNTIF(C223:I223,UI!B$2)=0,"/nope/",ROW(A223)-1)</f>
        <v>/nope/</v>
      </c>
      <c r="C223" s="1" t="str" cm="1">
        <f t="array" ref="C223">IF(A223="","",_xlfn.TEXTSPLIT(A223,","))</f>
        <v/>
      </c>
      <c r="G223" s="1" t="str">
        <f t="shared" si="3"/>
        <v/>
      </c>
      <c r="H223" t="e" cm="1">
        <f t="array" ref="H223">_xlfn.TEXTSPLIT(E223,"/")</f>
        <v>#VALUE!</v>
      </c>
    </row>
    <row r="224" spans="2:8" x14ac:dyDescent="0.3">
      <c r="B224" t="str">
        <f>IF(COUNTIF(C224:I224,UI!B$2)=0,"/nope/",ROW(A224)-1)</f>
        <v>/nope/</v>
      </c>
      <c r="C224" s="1" t="str" cm="1">
        <f t="array" ref="C224">IF(A224="","",_xlfn.TEXTSPLIT(A224,","))</f>
        <v/>
      </c>
      <c r="G224" s="1" t="str">
        <f t="shared" si="3"/>
        <v/>
      </c>
      <c r="H224" t="e" cm="1">
        <f t="array" ref="H224">_xlfn.TEXTSPLIT(E224,"/")</f>
        <v>#VALUE!</v>
      </c>
    </row>
    <row r="225" spans="2:8" x14ac:dyDescent="0.3">
      <c r="B225" t="str">
        <f>IF(COUNTIF(C225:I225,UI!B$2)=0,"/nope/",ROW(A225)-1)</f>
        <v>/nope/</v>
      </c>
      <c r="C225" s="1" t="str" cm="1">
        <f t="array" ref="C225">IF(A225="","",_xlfn.TEXTSPLIT(A225,","))</f>
        <v/>
      </c>
      <c r="G225" s="1" t="str">
        <f t="shared" si="3"/>
        <v/>
      </c>
      <c r="H225" t="e" cm="1">
        <f t="array" ref="H225">_xlfn.TEXTSPLIT(E225,"/")</f>
        <v>#VALUE!</v>
      </c>
    </row>
    <row r="226" spans="2:8" x14ac:dyDescent="0.3">
      <c r="B226" t="str">
        <f>IF(COUNTIF(C226:I226,UI!B$2)=0,"/nope/",ROW(A226)-1)</f>
        <v>/nope/</v>
      </c>
      <c r="C226" s="1" t="str" cm="1">
        <f t="array" ref="C226">IF(A226="","",_xlfn.TEXTSPLIT(A226,","))</f>
        <v/>
      </c>
      <c r="G226" s="1" t="str">
        <f t="shared" si="3"/>
        <v/>
      </c>
      <c r="H226" t="e" cm="1">
        <f t="array" ref="H226">_xlfn.TEXTSPLIT(E226,"/")</f>
        <v>#VALUE!</v>
      </c>
    </row>
    <row r="227" spans="2:8" x14ac:dyDescent="0.3">
      <c r="B227" t="str">
        <f>IF(COUNTIF(C227:I227,UI!B$2)=0,"/nope/",ROW(A227)-1)</f>
        <v>/nope/</v>
      </c>
      <c r="C227" s="1" t="str" cm="1">
        <f t="array" ref="C227">IF(A227="","",_xlfn.TEXTSPLIT(A227,","))</f>
        <v/>
      </c>
      <c r="G227" s="1" t="str">
        <f t="shared" si="3"/>
        <v/>
      </c>
      <c r="H227" t="e" cm="1">
        <f t="array" ref="H227">_xlfn.TEXTSPLIT(E227,"/")</f>
        <v>#VALUE!</v>
      </c>
    </row>
    <row r="228" spans="2:8" x14ac:dyDescent="0.3">
      <c r="B228" t="str">
        <f>IF(COUNTIF(C228:I228,UI!B$2)=0,"/nope/",ROW(A228)-1)</f>
        <v>/nope/</v>
      </c>
      <c r="C228" s="1" t="str" cm="1">
        <f t="array" ref="C228">IF(A228="","",_xlfn.TEXTSPLIT(A228,","))</f>
        <v/>
      </c>
      <c r="G228" s="1" t="str">
        <f t="shared" si="3"/>
        <v/>
      </c>
      <c r="H228" t="e" cm="1">
        <f t="array" ref="H228">_xlfn.TEXTSPLIT(E228,"/")</f>
        <v>#VALUE!</v>
      </c>
    </row>
    <row r="229" spans="2:8" x14ac:dyDescent="0.3">
      <c r="B229" t="str">
        <f>IF(COUNTIF(C229:I229,UI!B$2)=0,"/nope/",ROW(A229)-1)</f>
        <v>/nope/</v>
      </c>
      <c r="C229" s="1" t="str" cm="1">
        <f t="array" ref="C229">IF(A229="","",_xlfn.TEXTSPLIT(A229,","))</f>
        <v/>
      </c>
      <c r="G229" s="1" t="str">
        <f t="shared" si="3"/>
        <v/>
      </c>
      <c r="H229" t="e" cm="1">
        <f t="array" ref="H229">_xlfn.TEXTSPLIT(E229,"/")</f>
        <v>#VALUE!</v>
      </c>
    </row>
    <row r="230" spans="2:8" x14ac:dyDescent="0.3">
      <c r="B230" t="str">
        <f>IF(COUNTIF(C230:I230,UI!B$2)=0,"/nope/",ROW(A230)-1)</f>
        <v>/nope/</v>
      </c>
      <c r="C230" s="1" t="str" cm="1">
        <f t="array" ref="C230">IF(A230="","",_xlfn.TEXTSPLIT(A230,","))</f>
        <v/>
      </c>
      <c r="G230" s="1" t="str">
        <f t="shared" si="3"/>
        <v/>
      </c>
      <c r="H230" t="e" cm="1">
        <f t="array" ref="H230">_xlfn.TEXTSPLIT(E230,"/")</f>
        <v>#VALUE!</v>
      </c>
    </row>
    <row r="231" spans="2:8" x14ac:dyDescent="0.3">
      <c r="B231" t="str">
        <f>IF(COUNTIF(C231:I231,UI!B$2)=0,"/nope/",ROW(A231)-1)</f>
        <v>/nope/</v>
      </c>
      <c r="C231" s="1" t="str" cm="1">
        <f t="array" ref="C231">IF(A231="","",_xlfn.TEXTSPLIT(A231,","))</f>
        <v/>
      </c>
      <c r="G231" s="1" t="str">
        <f t="shared" si="3"/>
        <v/>
      </c>
      <c r="H231" t="e" cm="1">
        <f t="array" ref="H231">_xlfn.TEXTSPLIT(E231,"/")</f>
        <v>#VALUE!</v>
      </c>
    </row>
    <row r="232" spans="2:8" x14ac:dyDescent="0.3">
      <c r="B232" t="str">
        <f>IF(COUNTIF(C232:I232,UI!B$2)=0,"/nope/",ROW(A232)-1)</f>
        <v>/nope/</v>
      </c>
      <c r="C232" s="1" t="str" cm="1">
        <f t="array" ref="C232">IF(A232="","",_xlfn.TEXTSPLIT(A232,","))</f>
        <v/>
      </c>
      <c r="G232" s="1" t="str">
        <f t="shared" si="3"/>
        <v/>
      </c>
      <c r="H232" t="e" cm="1">
        <f t="array" ref="H232">_xlfn.TEXTSPLIT(E232,"/")</f>
        <v>#VALUE!</v>
      </c>
    </row>
    <row r="233" spans="2:8" x14ac:dyDescent="0.3">
      <c r="B233" t="str">
        <f>IF(COUNTIF(C233:I233,UI!B$2)=0,"/nope/",ROW(A233)-1)</f>
        <v>/nope/</v>
      </c>
      <c r="C233" s="1" t="str" cm="1">
        <f t="array" ref="C233">IF(A233="","",_xlfn.TEXTSPLIT(A233,","))</f>
        <v/>
      </c>
      <c r="G233" s="1" t="str">
        <f t="shared" si="3"/>
        <v/>
      </c>
      <c r="H233" t="e" cm="1">
        <f t="array" ref="H233">_xlfn.TEXTSPLIT(E233,"/")</f>
        <v>#VALUE!</v>
      </c>
    </row>
    <row r="234" spans="2:8" x14ac:dyDescent="0.3">
      <c r="B234" t="str">
        <f>IF(COUNTIF(C234:I234,UI!B$2)=0,"/nope/",ROW(A234)-1)</f>
        <v>/nope/</v>
      </c>
      <c r="C234" s="1" t="str" cm="1">
        <f t="array" ref="C234">IF(A234="","",_xlfn.TEXTSPLIT(A234,","))</f>
        <v/>
      </c>
      <c r="G234" s="1" t="str">
        <f t="shared" si="3"/>
        <v/>
      </c>
      <c r="H234" t="e" cm="1">
        <f t="array" ref="H234">_xlfn.TEXTSPLIT(E234,"/")</f>
        <v>#VALUE!</v>
      </c>
    </row>
    <row r="235" spans="2:8" x14ac:dyDescent="0.3">
      <c r="B235" t="str">
        <f>IF(COUNTIF(C235:I235,UI!B$2)=0,"/nope/",ROW(A235)-1)</f>
        <v>/nope/</v>
      </c>
      <c r="C235" s="1" t="str" cm="1">
        <f t="array" ref="C235">IF(A235="","",_xlfn.TEXTSPLIT(A235,","))</f>
        <v/>
      </c>
      <c r="G235" s="1" t="str">
        <f t="shared" si="3"/>
        <v/>
      </c>
      <c r="H235" t="e" cm="1">
        <f t="array" ref="H235">_xlfn.TEXTSPLIT(E235,"/")</f>
        <v>#VALUE!</v>
      </c>
    </row>
    <row r="236" spans="2:8" x14ac:dyDescent="0.3">
      <c r="B236" t="str">
        <f>IF(COUNTIF(C236:I236,UI!B$2)=0,"/nope/",ROW(A236)-1)</f>
        <v>/nope/</v>
      </c>
      <c r="C236" s="1" t="str" cm="1">
        <f t="array" ref="C236">IF(A236="","",_xlfn.TEXTSPLIT(A236,","))</f>
        <v/>
      </c>
      <c r="G236" s="1" t="str">
        <f t="shared" si="3"/>
        <v/>
      </c>
      <c r="H236" t="e" cm="1">
        <f t="array" ref="H236">_xlfn.TEXTSPLIT(E236,"/")</f>
        <v>#VALUE!</v>
      </c>
    </row>
    <row r="237" spans="2:8" x14ac:dyDescent="0.3">
      <c r="B237" t="str">
        <f>IF(COUNTIF(C237:I237,UI!B$2)=0,"/nope/",ROW(A237)-1)</f>
        <v>/nope/</v>
      </c>
      <c r="C237" s="1" t="str" cm="1">
        <f t="array" ref="C237">IF(A237="","",_xlfn.TEXTSPLIT(A237,","))</f>
        <v/>
      </c>
      <c r="G237" s="1" t="str">
        <f t="shared" si="3"/>
        <v/>
      </c>
      <c r="H237" t="e" cm="1">
        <f t="array" ref="H237">_xlfn.TEXTSPLIT(E237,"/")</f>
        <v>#VALUE!</v>
      </c>
    </row>
    <row r="238" spans="2:8" x14ac:dyDescent="0.3">
      <c r="B238" t="str">
        <f>IF(COUNTIF(C238:I238,UI!B$2)=0,"/nope/",ROW(A238)-1)</f>
        <v>/nope/</v>
      </c>
      <c r="C238" s="1" t="str" cm="1">
        <f t="array" ref="C238">IF(A238="","",_xlfn.TEXTSPLIT(A238,","))</f>
        <v/>
      </c>
      <c r="G238" s="1" t="str">
        <f t="shared" si="3"/>
        <v/>
      </c>
      <c r="H238" t="e" cm="1">
        <f t="array" ref="H238">_xlfn.TEXTSPLIT(E238,"/")</f>
        <v>#VALUE!</v>
      </c>
    </row>
    <row r="239" spans="2:8" x14ac:dyDescent="0.3">
      <c r="B239" t="str">
        <f>IF(COUNTIF(C239:I239,UI!B$2)=0,"/nope/",ROW(A239)-1)</f>
        <v>/nope/</v>
      </c>
      <c r="C239" s="1" t="str" cm="1">
        <f t="array" ref="C239">IF(A239="","",_xlfn.TEXTSPLIT(A239,","))</f>
        <v/>
      </c>
      <c r="G239" s="1" t="str">
        <f t="shared" si="3"/>
        <v/>
      </c>
      <c r="H239" t="e" cm="1">
        <f t="array" ref="H239">_xlfn.TEXTSPLIT(E239,"/")</f>
        <v>#VALUE!</v>
      </c>
    </row>
    <row r="240" spans="2:8" x14ac:dyDescent="0.3">
      <c r="B240" t="str">
        <f>IF(COUNTIF(C240:I240,UI!B$2)=0,"/nope/",ROW(A240)-1)</f>
        <v>/nope/</v>
      </c>
      <c r="C240" s="1" t="str" cm="1">
        <f t="array" ref="C240">IF(A240="","",_xlfn.TEXTSPLIT(A240,","))</f>
        <v/>
      </c>
      <c r="G240" s="1" t="str">
        <f t="shared" si="3"/>
        <v/>
      </c>
      <c r="H240" t="e" cm="1">
        <f t="array" ref="H240">_xlfn.TEXTSPLIT(E240,"/")</f>
        <v>#VALUE!</v>
      </c>
    </row>
    <row r="241" spans="2:8" x14ac:dyDescent="0.3">
      <c r="B241" t="str">
        <f>IF(COUNTIF(C241:I241,UI!B$2)=0,"/nope/",ROW(A241)-1)</f>
        <v>/nope/</v>
      </c>
      <c r="C241" s="1" t="str" cm="1">
        <f t="array" ref="C241">IF(A241="","",_xlfn.TEXTSPLIT(A241,","))</f>
        <v/>
      </c>
      <c r="G241" s="1" t="str">
        <f t="shared" si="3"/>
        <v/>
      </c>
      <c r="H241" t="e" cm="1">
        <f t="array" ref="H241">_xlfn.TEXTSPLIT(E241,"/")</f>
        <v>#VALUE!</v>
      </c>
    </row>
    <row r="242" spans="2:8" x14ac:dyDescent="0.3">
      <c r="B242" t="str">
        <f>IF(COUNTIF(C242:I242,UI!B$2)=0,"/nope/",ROW(A242)-1)</f>
        <v>/nope/</v>
      </c>
      <c r="C242" s="1" t="str" cm="1">
        <f t="array" ref="C242">IF(A242="","",_xlfn.TEXTSPLIT(A242,","))</f>
        <v/>
      </c>
      <c r="G242" s="1" t="str">
        <f t="shared" si="3"/>
        <v/>
      </c>
      <c r="H242" t="e" cm="1">
        <f t="array" ref="H242">_xlfn.TEXTSPLIT(E242,"/")</f>
        <v>#VALUE!</v>
      </c>
    </row>
    <row r="243" spans="2:8" x14ac:dyDescent="0.3">
      <c r="B243" t="str">
        <f>IF(COUNTIF(C243:I243,UI!B$2)=0,"/nope/",ROW(A243)-1)</f>
        <v>/nope/</v>
      </c>
      <c r="C243" s="1" t="str" cm="1">
        <f t="array" ref="C243">IF(A243="","",_xlfn.TEXTSPLIT(A243,","))</f>
        <v/>
      </c>
      <c r="G243" s="1" t="str">
        <f t="shared" si="3"/>
        <v/>
      </c>
      <c r="H243" t="e" cm="1">
        <f t="array" ref="H243">_xlfn.TEXTSPLIT(E243,"/")</f>
        <v>#VALUE!</v>
      </c>
    </row>
    <row r="244" spans="2:8" x14ac:dyDescent="0.3">
      <c r="B244" t="str">
        <f>IF(COUNTIF(C244:I244,UI!B$2)=0,"/nope/",ROW(A244)-1)</f>
        <v>/nope/</v>
      </c>
      <c r="C244" s="1" t="str" cm="1">
        <f t="array" ref="C244">IF(A244="","",_xlfn.TEXTSPLIT(A244,","))</f>
        <v/>
      </c>
      <c r="G244" s="1" t="str">
        <f t="shared" si="3"/>
        <v/>
      </c>
      <c r="H244" t="e" cm="1">
        <f t="array" ref="H244">_xlfn.TEXTSPLIT(E244,"/")</f>
        <v>#VALUE!</v>
      </c>
    </row>
    <row r="245" spans="2:8" x14ac:dyDescent="0.3">
      <c r="B245" t="str">
        <f>IF(COUNTIF(C245:I245,UI!B$2)=0,"/nope/",ROW(A245)-1)</f>
        <v>/nope/</v>
      </c>
      <c r="C245" s="1" t="str" cm="1">
        <f t="array" ref="C245">IF(A245="","",_xlfn.TEXTSPLIT(A245,","))</f>
        <v/>
      </c>
      <c r="G245" s="1" t="str">
        <f t="shared" si="3"/>
        <v/>
      </c>
      <c r="H245" t="e" cm="1">
        <f t="array" ref="H245">_xlfn.TEXTSPLIT(E245,"/")</f>
        <v>#VALUE!</v>
      </c>
    </row>
    <row r="246" spans="2:8" x14ac:dyDescent="0.3">
      <c r="B246" t="str">
        <f>IF(COUNTIF(C246:I246,UI!B$2)=0,"/nope/",ROW(A246)-1)</f>
        <v>/nope/</v>
      </c>
      <c r="C246" s="1" t="str" cm="1">
        <f t="array" ref="C246">IF(A246="","",_xlfn.TEXTSPLIT(A246,","))</f>
        <v/>
      </c>
      <c r="G246" s="1" t="str">
        <f t="shared" si="3"/>
        <v/>
      </c>
      <c r="H246" t="e" cm="1">
        <f t="array" ref="H246">_xlfn.TEXTSPLIT(E246,"/")</f>
        <v>#VALUE!</v>
      </c>
    </row>
    <row r="247" spans="2:8" x14ac:dyDescent="0.3">
      <c r="B247" t="str">
        <f>IF(COUNTIF(C247:I247,UI!B$2)=0,"/nope/",ROW(A247)-1)</f>
        <v>/nope/</v>
      </c>
      <c r="C247" s="1" t="str" cm="1">
        <f t="array" ref="C247">IF(A247="","",_xlfn.TEXTSPLIT(A247,","))</f>
        <v/>
      </c>
      <c r="G247" s="1" t="str">
        <f t="shared" si="3"/>
        <v/>
      </c>
      <c r="H247" t="e" cm="1">
        <f t="array" ref="H247">_xlfn.TEXTSPLIT(E247,"/")</f>
        <v>#VALUE!</v>
      </c>
    </row>
    <row r="248" spans="2:8" x14ac:dyDescent="0.3">
      <c r="B248" t="str">
        <f>IF(COUNTIF(C248:I248,UI!B$2)=0,"/nope/",ROW(A248)-1)</f>
        <v>/nope/</v>
      </c>
      <c r="C248" s="1" t="str" cm="1">
        <f t="array" ref="C248">IF(A248="","",_xlfn.TEXTSPLIT(A248,","))</f>
        <v/>
      </c>
      <c r="G248" s="1" t="str">
        <f t="shared" si="3"/>
        <v/>
      </c>
      <c r="H248" t="e" cm="1">
        <f t="array" ref="H248">_xlfn.TEXTSPLIT(E248,"/")</f>
        <v>#VALUE!</v>
      </c>
    </row>
    <row r="249" spans="2:8" x14ac:dyDescent="0.3">
      <c r="B249" t="str">
        <f>IF(COUNTIF(C249:I249,UI!B$2)=0,"/nope/",ROW(A249)-1)</f>
        <v>/nope/</v>
      </c>
      <c r="C249" s="1" t="str" cm="1">
        <f t="array" ref="C249">IF(A249="","",_xlfn.TEXTSPLIT(A249,","))</f>
        <v/>
      </c>
      <c r="G249" s="1" t="str">
        <f t="shared" si="3"/>
        <v/>
      </c>
      <c r="H249" t="e" cm="1">
        <f t="array" ref="H249">_xlfn.TEXTSPLIT(E249,"/")</f>
        <v>#VALUE!</v>
      </c>
    </row>
    <row r="250" spans="2:8" x14ac:dyDescent="0.3">
      <c r="B250" t="str">
        <f>IF(COUNTIF(C250:I250,UI!B$2)=0,"/nope/",ROW(A250)-1)</f>
        <v>/nope/</v>
      </c>
      <c r="C250" s="1" t="str" cm="1">
        <f t="array" ref="C250">IF(A250="","",_xlfn.TEXTSPLIT(A250,","))</f>
        <v/>
      </c>
      <c r="G250" s="1" t="str">
        <f t="shared" si="3"/>
        <v/>
      </c>
      <c r="H250" t="e" cm="1">
        <f t="array" ref="H250">_xlfn.TEXTSPLIT(E250,"/")</f>
        <v>#VALUE!</v>
      </c>
    </row>
    <row r="251" spans="2:8" x14ac:dyDescent="0.3">
      <c r="B251" t="str">
        <f>IF(COUNTIF(C251:I251,UI!B$2)=0,"/nope/",ROW(A251)-1)</f>
        <v>/nope/</v>
      </c>
      <c r="C251" s="1" t="str" cm="1">
        <f t="array" ref="C251">IF(A251="","",_xlfn.TEXTSPLIT(A251,","))</f>
        <v/>
      </c>
      <c r="G251" s="1" t="str">
        <f t="shared" si="3"/>
        <v/>
      </c>
      <c r="H251" t="e" cm="1">
        <f t="array" ref="H251">_xlfn.TEXTSPLIT(E251,"/")</f>
        <v>#VALUE!</v>
      </c>
    </row>
    <row r="252" spans="2:8" x14ac:dyDescent="0.3">
      <c r="B252" t="str">
        <f>IF(COUNTIF(C252:I252,UI!B$2)=0,"/nope/",ROW(A252)-1)</f>
        <v>/nope/</v>
      </c>
      <c r="C252" s="1" t="str" cm="1">
        <f t="array" ref="C252">IF(A252="","",_xlfn.TEXTSPLIT(A252,","))</f>
        <v/>
      </c>
      <c r="G252" s="1" t="str">
        <f t="shared" si="3"/>
        <v/>
      </c>
      <c r="H252" t="e" cm="1">
        <f t="array" ref="H252">_xlfn.TEXTSPLIT(E252,"/")</f>
        <v>#VALUE!</v>
      </c>
    </row>
    <row r="253" spans="2:8" x14ac:dyDescent="0.3">
      <c r="B253" t="str">
        <f>IF(COUNTIF(C253:I253,UI!B$2)=0,"/nope/",ROW(A253)-1)</f>
        <v>/nope/</v>
      </c>
      <c r="C253" s="1" t="str" cm="1">
        <f t="array" ref="C253">IF(A253="","",_xlfn.TEXTSPLIT(A253,","))</f>
        <v/>
      </c>
      <c r="G253" s="1" t="str">
        <f t="shared" si="3"/>
        <v/>
      </c>
      <c r="H253" t="e" cm="1">
        <f t="array" ref="H253">_xlfn.TEXTSPLIT(E253,"/")</f>
        <v>#VALUE!</v>
      </c>
    </row>
    <row r="254" spans="2:8" x14ac:dyDescent="0.3">
      <c r="B254" t="str">
        <f>IF(COUNTIF(C254:I254,UI!B$2)=0,"/nope/",ROW(A254)-1)</f>
        <v>/nope/</v>
      </c>
      <c r="C254" s="1" t="str" cm="1">
        <f t="array" ref="C254">IF(A254="","",_xlfn.TEXTSPLIT(A254,","))</f>
        <v/>
      </c>
      <c r="G254" s="1" t="str">
        <f t="shared" si="3"/>
        <v/>
      </c>
      <c r="H254" t="e" cm="1">
        <f t="array" ref="H254">_xlfn.TEXTSPLIT(E254,"/")</f>
        <v>#VALUE!</v>
      </c>
    </row>
    <row r="255" spans="2:8" x14ac:dyDescent="0.3">
      <c r="B255" t="str">
        <f>IF(COUNTIF(C255:I255,UI!B$2)=0,"/nope/",ROW(A255)-1)</f>
        <v>/nope/</v>
      </c>
      <c r="C255" s="1" t="str" cm="1">
        <f t="array" ref="C255">IF(A255="","",_xlfn.TEXTSPLIT(A255,","))</f>
        <v/>
      </c>
      <c r="G255" s="1" t="str">
        <f t="shared" si="3"/>
        <v/>
      </c>
      <c r="H255" t="e" cm="1">
        <f t="array" ref="H255">_xlfn.TEXTSPLIT(E255,"/")</f>
        <v>#VALUE!</v>
      </c>
    </row>
    <row r="256" spans="2:8" x14ac:dyDescent="0.3">
      <c r="B256" t="str">
        <f>IF(COUNTIF(C256:I256,UI!B$2)=0,"/nope/",ROW(A256)-1)</f>
        <v>/nope/</v>
      </c>
      <c r="C256" s="1" t="str" cm="1">
        <f t="array" ref="C256">IF(A256="","",_xlfn.TEXTSPLIT(A256,","))</f>
        <v/>
      </c>
      <c r="G256" s="1" t="str">
        <f t="shared" si="3"/>
        <v/>
      </c>
      <c r="H256" t="e" cm="1">
        <f t="array" ref="H256">_xlfn.TEXTSPLIT(E256,"/")</f>
        <v>#VALUE!</v>
      </c>
    </row>
    <row r="257" spans="2:8" x14ac:dyDescent="0.3">
      <c r="B257" t="str">
        <f>IF(COUNTIF(C257:I257,UI!B$2)=0,"/nope/",ROW(A257)-1)</f>
        <v>/nope/</v>
      </c>
      <c r="C257" s="1" t="str" cm="1">
        <f t="array" ref="C257">IF(A257="","",_xlfn.TEXTSPLIT(A257,","))</f>
        <v/>
      </c>
      <c r="G257" s="1" t="str">
        <f t="shared" si="3"/>
        <v/>
      </c>
      <c r="H257" t="e" cm="1">
        <f t="array" ref="H257">_xlfn.TEXTSPLIT(E257,"/")</f>
        <v>#VALUE!</v>
      </c>
    </row>
    <row r="258" spans="2:8" x14ac:dyDescent="0.3">
      <c r="B258" t="str">
        <f>IF(COUNTIF(C258:I258,UI!B$2)=0,"/nope/",ROW(A258)-1)</f>
        <v>/nope/</v>
      </c>
      <c r="C258" s="1" t="str" cm="1">
        <f t="array" ref="C258">IF(A258="","",_xlfn.TEXTSPLIT(A258,","))</f>
        <v/>
      </c>
      <c r="G258" s="1" t="str">
        <f t="shared" ref="G258:G321" si="4">IF(E258="","",IF(I258="",E258,""))</f>
        <v/>
      </c>
      <c r="H258" t="e" cm="1">
        <f t="array" ref="H258">_xlfn.TEXTSPLIT(E258,"/")</f>
        <v>#VALUE!</v>
      </c>
    </row>
    <row r="259" spans="2:8" x14ac:dyDescent="0.3">
      <c r="B259" t="str">
        <f>IF(COUNTIF(C259:I259,UI!B$2)=0,"/nope/",ROW(A259)-1)</f>
        <v>/nope/</v>
      </c>
      <c r="C259" s="1" t="str" cm="1">
        <f t="array" ref="C259">IF(A259="","",_xlfn.TEXTSPLIT(A259,","))</f>
        <v/>
      </c>
      <c r="G259" s="1" t="str">
        <f t="shared" si="4"/>
        <v/>
      </c>
      <c r="H259" t="e" cm="1">
        <f t="array" ref="H259">_xlfn.TEXTSPLIT(E259,"/")</f>
        <v>#VALUE!</v>
      </c>
    </row>
    <row r="260" spans="2:8" x14ac:dyDescent="0.3">
      <c r="B260" t="str">
        <f>IF(COUNTIF(C260:I260,UI!B$2)=0,"/nope/",ROW(A260)-1)</f>
        <v>/nope/</v>
      </c>
      <c r="C260" s="1" t="str" cm="1">
        <f t="array" ref="C260">IF(A260="","",_xlfn.TEXTSPLIT(A260,","))</f>
        <v/>
      </c>
      <c r="G260" s="1" t="str">
        <f t="shared" si="4"/>
        <v/>
      </c>
      <c r="H260" t="e" cm="1">
        <f t="array" ref="H260">_xlfn.TEXTSPLIT(E260,"/")</f>
        <v>#VALUE!</v>
      </c>
    </row>
    <row r="261" spans="2:8" x14ac:dyDescent="0.3">
      <c r="B261" t="str">
        <f>IF(COUNTIF(C261:I261,UI!B$2)=0,"/nope/",ROW(A261)-1)</f>
        <v>/nope/</v>
      </c>
      <c r="C261" s="1" t="str" cm="1">
        <f t="array" ref="C261">IF(A261="","",_xlfn.TEXTSPLIT(A261,","))</f>
        <v/>
      </c>
      <c r="G261" s="1" t="str">
        <f t="shared" si="4"/>
        <v/>
      </c>
      <c r="H261" t="e" cm="1">
        <f t="array" ref="H261">_xlfn.TEXTSPLIT(E261,"/")</f>
        <v>#VALUE!</v>
      </c>
    </row>
    <row r="262" spans="2:8" x14ac:dyDescent="0.3">
      <c r="B262" t="str">
        <f>IF(COUNTIF(C262:I262,UI!B$2)=0,"/nope/",ROW(A262)-1)</f>
        <v>/nope/</v>
      </c>
      <c r="C262" s="1" t="str" cm="1">
        <f t="array" ref="C262">IF(A262="","",_xlfn.TEXTSPLIT(A262,","))</f>
        <v/>
      </c>
      <c r="G262" s="1" t="str">
        <f t="shared" si="4"/>
        <v/>
      </c>
      <c r="H262" t="e" cm="1">
        <f t="array" ref="H262">_xlfn.TEXTSPLIT(E262,"/")</f>
        <v>#VALUE!</v>
      </c>
    </row>
    <row r="263" spans="2:8" x14ac:dyDescent="0.3">
      <c r="B263" t="str">
        <f>IF(COUNTIF(C263:I263,UI!B$2)=0,"/nope/",ROW(A263)-1)</f>
        <v>/nope/</v>
      </c>
      <c r="C263" s="1" t="str" cm="1">
        <f t="array" ref="C263">IF(A263="","",_xlfn.TEXTSPLIT(A263,","))</f>
        <v/>
      </c>
      <c r="G263" s="1" t="str">
        <f t="shared" si="4"/>
        <v/>
      </c>
      <c r="H263" t="e" cm="1">
        <f t="array" ref="H263">_xlfn.TEXTSPLIT(E263,"/")</f>
        <v>#VALUE!</v>
      </c>
    </row>
    <row r="264" spans="2:8" x14ac:dyDescent="0.3">
      <c r="B264" t="str">
        <f>IF(COUNTIF(C264:I264,UI!B$2)=0,"/nope/",ROW(A264)-1)</f>
        <v>/nope/</v>
      </c>
      <c r="C264" s="1" t="str" cm="1">
        <f t="array" ref="C264">IF(A264="","",_xlfn.TEXTSPLIT(A264,","))</f>
        <v/>
      </c>
      <c r="G264" s="1" t="str">
        <f t="shared" si="4"/>
        <v/>
      </c>
      <c r="H264" t="e" cm="1">
        <f t="array" ref="H264">_xlfn.TEXTSPLIT(E264,"/")</f>
        <v>#VALUE!</v>
      </c>
    </row>
    <row r="265" spans="2:8" x14ac:dyDescent="0.3">
      <c r="B265" t="str">
        <f>IF(COUNTIF(C265:I265,UI!B$2)=0,"/nope/",ROW(A265)-1)</f>
        <v>/nope/</v>
      </c>
      <c r="C265" s="1" t="str" cm="1">
        <f t="array" ref="C265">IF(A265="","",_xlfn.TEXTSPLIT(A265,","))</f>
        <v/>
      </c>
      <c r="G265" s="1" t="str">
        <f t="shared" si="4"/>
        <v/>
      </c>
      <c r="H265" t="e" cm="1">
        <f t="array" ref="H265">_xlfn.TEXTSPLIT(E265,"/")</f>
        <v>#VALUE!</v>
      </c>
    </row>
    <row r="266" spans="2:8" x14ac:dyDescent="0.3">
      <c r="B266" t="str">
        <f>IF(COUNTIF(C266:I266,UI!B$2)=0,"/nope/",ROW(A266)-1)</f>
        <v>/nope/</v>
      </c>
      <c r="C266" s="1" t="str" cm="1">
        <f t="array" ref="C266">IF(A266="","",_xlfn.TEXTSPLIT(A266,","))</f>
        <v/>
      </c>
      <c r="G266" s="1" t="str">
        <f t="shared" si="4"/>
        <v/>
      </c>
      <c r="H266" t="e" cm="1">
        <f t="array" ref="H266">_xlfn.TEXTSPLIT(E266,"/")</f>
        <v>#VALUE!</v>
      </c>
    </row>
    <row r="267" spans="2:8" x14ac:dyDescent="0.3">
      <c r="B267" t="str">
        <f>IF(COUNTIF(C267:I267,UI!B$2)=0,"/nope/",ROW(A267)-1)</f>
        <v>/nope/</v>
      </c>
      <c r="C267" s="1" t="str" cm="1">
        <f t="array" ref="C267">IF(A267="","",_xlfn.TEXTSPLIT(A267,","))</f>
        <v/>
      </c>
      <c r="G267" s="1" t="str">
        <f t="shared" si="4"/>
        <v/>
      </c>
      <c r="H267" t="e" cm="1">
        <f t="array" ref="H267">_xlfn.TEXTSPLIT(E267,"/")</f>
        <v>#VALUE!</v>
      </c>
    </row>
    <row r="268" spans="2:8" x14ac:dyDescent="0.3">
      <c r="B268" t="str">
        <f>IF(COUNTIF(C268:I268,UI!B$2)=0,"/nope/",ROW(A268)-1)</f>
        <v>/nope/</v>
      </c>
      <c r="C268" s="1" t="str" cm="1">
        <f t="array" ref="C268">IF(A268="","",_xlfn.TEXTSPLIT(A268,","))</f>
        <v/>
      </c>
      <c r="G268" s="1" t="str">
        <f t="shared" si="4"/>
        <v/>
      </c>
      <c r="H268" t="e" cm="1">
        <f t="array" ref="H268">_xlfn.TEXTSPLIT(E268,"/")</f>
        <v>#VALUE!</v>
      </c>
    </row>
    <row r="269" spans="2:8" x14ac:dyDescent="0.3">
      <c r="B269" t="str">
        <f>IF(COUNTIF(C269:I269,UI!B$2)=0,"/nope/",ROW(A269)-1)</f>
        <v>/nope/</v>
      </c>
      <c r="C269" s="1" t="str" cm="1">
        <f t="array" ref="C269">IF(A269="","",_xlfn.TEXTSPLIT(A269,","))</f>
        <v/>
      </c>
      <c r="G269" s="1" t="str">
        <f t="shared" si="4"/>
        <v/>
      </c>
      <c r="H269" t="e" cm="1">
        <f t="array" ref="H269">_xlfn.TEXTSPLIT(E269,"/")</f>
        <v>#VALUE!</v>
      </c>
    </row>
    <row r="270" spans="2:8" x14ac:dyDescent="0.3">
      <c r="B270" t="str">
        <f>IF(COUNTIF(C270:I270,UI!B$2)=0,"/nope/",ROW(A270)-1)</f>
        <v>/nope/</v>
      </c>
      <c r="C270" s="1" t="str" cm="1">
        <f t="array" ref="C270">IF(A270="","",_xlfn.TEXTSPLIT(A270,","))</f>
        <v/>
      </c>
      <c r="G270" s="1" t="str">
        <f t="shared" si="4"/>
        <v/>
      </c>
      <c r="H270" t="e" cm="1">
        <f t="array" ref="H270">_xlfn.TEXTSPLIT(E270,"/")</f>
        <v>#VALUE!</v>
      </c>
    </row>
    <row r="271" spans="2:8" x14ac:dyDescent="0.3">
      <c r="B271" t="str">
        <f>IF(COUNTIF(C271:I271,UI!B$2)=0,"/nope/",ROW(A271)-1)</f>
        <v>/nope/</v>
      </c>
      <c r="C271" s="1" t="str" cm="1">
        <f t="array" ref="C271">IF(A271="","",_xlfn.TEXTSPLIT(A271,","))</f>
        <v/>
      </c>
      <c r="G271" s="1" t="str">
        <f t="shared" si="4"/>
        <v/>
      </c>
      <c r="H271" t="e" cm="1">
        <f t="array" ref="H271">_xlfn.TEXTSPLIT(E271,"/")</f>
        <v>#VALUE!</v>
      </c>
    </row>
    <row r="272" spans="2:8" x14ac:dyDescent="0.3">
      <c r="B272" t="str">
        <f>IF(COUNTIF(C272:I272,UI!B$2)=0,"/nope/",ROW(A272)-1)</f>
        <v>/nope/</v>
      </c>
      <c r="C272" s="1" t="str" cm="1">
        <f t="array" ref="C272">IF(A272="","",_xlfn.TEXTSPLIT(A272,","))</f>
        <v/>
      </c>
      <c r="G272" s="1" t="str">
        <f t="shared" si="4"/>
        <v/>
      </c>
      <c r="H272" t="e" cm="1">
        <f t="array" ref="H272">_xlfn.TEXTSPLIT(E272,"/")</f>
        <v>#VALUE!</v>
      </c>
    </row>
    <row r="273" spans="2:8" x14ac:dyDescent="0.3">
      <c r="B273" t="str">
        <f>IF(COUNTIF(C273:I273,UI!B$2)=0,"/nope/",ROW(A273)-1)</f>
        <v>/nope/</v>
      </c>
      <c r="C273" s="1" t="str" cm="1">
        <f t="array" ref="C273">IF(A273="","",_xlfn.TEXTSPLIT(A273,","))</f>
        <v/>
      </c>
      <c r="G273" s="1" t="str">
        <f t="shared" si="4"/>
        <v/>
      </c>
      <c r="H273" t="e" cm="1">
        <f t="array" ref="H273">_xlfn.TEXTSPLIT(E273,"/")</f>
        <v>#VALUE!</v>
      </c>
    </row>
    <row r="274" spans="2:8" x14ac:dyDescent="0.3">
      <c r="B274" t="str">
        <f>IF(COUNTIF(C274:I274,UI!B$2)=0,"/nope/",ROW(A274)-1)</f>
        <v>/nope/</v>
      </c>
      <c r="C274" s="1" t="str" cm="1">
        <f t="array" ref="C274">IF(A274="","",_xlfn.TEXTSPLIT(A274,","))</f>
        <v/>
      </c>
      <c r="G274" s="1" t="str">
        <f t="shared" si="4"/>
        <v/>
      </c>
      <c r="H274" t="e" cm="1">
        <f t="array" ref="H274">_xlfn.TEXTSPLIT(E274,"/")</f>
        <v>#VALUE!</v>
      </c>
    </row>
    <row r="275" spans="2:8" x14ac:dyDescent="0.3">
      <c r="B275" t="str">
        <f>IF(COUNTIF(C275:I275,UI!B$2)=0,"/nope/",ROW(A275)-1)</f>
        <v>/nope/</v>
      </c>
      <c r="C275" s="1" t="str" cm="1">
        <f t="array" ref="C275">IF(A275="","",_xlfn.TEXTSPLIT(A275,","))</f>
        <v/>
      </c>
      <c r="G275" s="1" t="str">
        <f t="shared" si="4"/>
        <v/>
      </c>
      <c r="H275" t="e" cm="1">
        <f t="array" ref="H275">_xlfn.TEXTSPLIT(E275,"/")</f>
        <v>#VALUE!</v>
      </c>
    </row>
    <row r="276" spans="2:8" x14ac:dyDescent="0.3">
      <c r="B276" t="str">
        <f>IF(COUNTIF(C276:I276,UI!B$2)=0,"/nope/",ROW(A276)-1)</f>
        <v>/nope/</v>
      </c>
      <c r="C276" s="1" t="str" cm="1">
        <f t="array" ref="C276">IF(A276="","",_xlfn.TEXTSPLIT(A276,","))</f>
        <v/>
      </c>
      <c r="G276" s="1" t="str">
        <f t="shared" si="4"/>
        <v/>
      </c>
      <c r="H276" t="e" cm="1">
        <f t="array" ref="H276">_xlfn.TEXTSPLIT(E276,"/")</f>
        <v>#VALUE!</v>
      </c>
    </row>
    <row r="277" spans="2:8" x14ac:dyDescent="0.3">
      <c r="B277" t="str">
        <f>IF(COUNTIF(C277:I277,UI!B$2)=0,"/nope/",ROW(A277)-1)</f>
        <v>/nope/</v>
      </c>
      <c r="C277" s="1" t="str" cm="1">
        <f t="array" ref="C277">IF(A277="","",_xlfn.TEXTSPLIT(A277,","))</f>
        <v/>
      </c>
      <c r="G277" s="1" t="str">
        <f t="shared" si="4"/>
        <v/>
      </c>
      <c r="H277" t="e" cm="1">
        <f t="array" ref="H277">_xlfn.TEXTSPLIT(E277,"/")</f>
        <v>#VALUE!</v>
      </c>
    </row>
    <row r="278" spans="2:8" x14ac:dyDescent="0.3">
      <c r="B278" t="str">
        <f>IF(COUNTIF(C278:I278,UI!B$2)=0,"/nope/",ROW(A278)-1)</f>
        <v>/nope/</v>
      </c>
      <c r="C278" s="1" t="str" cm="1">
        <f t="array" ref="C278">IF(A278="","",_xlfn.TEXTSPLIT(A278,","))</f>
        <v/>
      </c>
      <c r="G278" s="1" t="str">
        <f t="shared" si="4"/>
        <v/>
      </c>
      <c r="H278" t="e" cm="1">
        <f t="array" ref="H278">_xlfn.TEXTSPLIT(E278,"/")</f>
        <v>#VALUE!</v>
      </c>
    </row>
    <row r="279" spans="2:8" x14ac:dyDescent="0.3">
      <c r="B279" t="str">
        <f>IF(COUNTIF(C279:I279,UI!B$2)=0,"/nope/",ROW(A279)-1)</f>
        <v>/nope/</v>
      </c>
      <c r="C279" s="1" t="str" cm="1">
        <f t="array" ref="C279">IF(A279="","",_xlfn.TEXTSPLIT(A279,","))</f>
        <v/>
      </c>
      <c r="G279" s="1" t="str">
        <f t="shared" si="4"/>
        <v/>
      </c>
      <c r="H279" t="e" cm="1">
        <f t="array" ref="H279">_xlfn.TEXTSPLIT(E279,"/")</f>
        <v>#VALUE!</v>
      </c>
    </row>
    <row r="280" spans="2:8" x14ac:dyDescent="0.3">
      <c r="B280" t="str">
        <f>IF(COUNTIF(C280:I280,UI!B$2)=0,"/nope/",ROW(A280)-1)</f>
        <v>/nope/</v>
      </c>
      <c r="C280" s="1" t="str" cm="1">
        <f t="array" ref="C280">IF(A280="","",_xlfn.TEXTSPLIT(A280,","))</f>
        <v/>
      </c>
      <c r="G280" s="1" t="str">
        <f t="shared" si="4"/>
        <v/>
      </c>
      <c r="H280" t="e" cm="1">
        <f t="array" ref="H280">_xlfn.TEXTSPLIT(E280,"/")</f>
        <v>#VALUE!</v>
      </c>
    </row>
    <row r="281" spans="2:8" x14ac:dyDescent="0.3">
      <c r="B281" t="str">
        <f>IF(COUNTIF(C281:I281,UI!B$2)=0,"/nope/",ROW(A281)-1)</f>
        <v>/nope/</v>
      </c>
      <c r="C281" s="1" t="str" cm="1">
        <f t="array" ref="C281">IF(A281="","",_xlfn.TEXTSPLIT(A281,","))</f>
        <v/>
      </c>
      <c r="G281" s="1" t="str">
        <f t="shared" si="4"/>
        <v/>
      </c>
      <c r="H281" t="e" cm="1">
        <f t="array" ref="H281">_xlfn.TEXTSPLIT(E281,"/")</f>
        <v>#VALUE!</v>
      </c>
    </row>
    <row r="282" spans="2:8" x14ac:dyDescent="0.3">
      <c r="B282" t="str">
        <f>IF(COUNTIF(C282:I282,UI!B$2)=0,"/nope/",ROW(A282)-1)</f>
        <v>/nope/</v>
      </c>
      <c r="C282" s="1" t="str" cm="1">
        <f t="array" ref="C282">IF(A282="","",_xlfn.TEXTSPLIT(A282,","))</f>
        <v/>
      </c>
      <c r="G282" s="1" t="str">
        <f t="shared" si="4"/>
        <v/>
      </c>
      <c r="H282" t="e" cm="1">
        <f t="array" ref="H282">_xlfn.TEXTSPLIT(E282,"/")</f>
        <v>#VALUE!</v>
      </c>
    </row>
    <row r="283" spans="2:8" x14ac:dyDescent="0.3">
      <c r="B283" t="str">
        <f>IF(COUNTIF(C283:I283,UI!B$2)=0,"/nope/",ROW(A283)-1)</f>
        <v>/nope/</v>
      </c>
      <c r="C283" s="1" t="str" cm="1">
        <f t="array" ref="C283">IF(A283="","",_xlfn.TEXTSPLIT(A283,","))</f>
        <v/>
      </c>
      <c r="G283" s="1" t="str">
        <f t="shared" si="4"/>
        <v/>
      </c>
      <c r="H283" t="e" cm="1">
        <f t="array" ref="H283">_xlfn.TEXTSPLIT(E283,"/")</f>
        <v>#VALUE!</v>
      </c>
    </row>
    <row r="284" spans="2:8" x14ac:dyDescent="0.3">
      <c r="B284" t="str">
        <f>IF(COUNTIF(C284:I284,UI!B$2)=0,"/nope/",ROW(A284)-1)</f>
        <v>/nope/</v>
      </c>
      <c r="C284" s="1" t="str" cm="1">
        <f t="array" ref="C284">IF(A284="","",_xlfn.TEXTSPLIT(A284,","))</f>
        <v/>
      </c>
      <c r="G284" s="1" t="str">
        <f t="shared" si="4"/>
        <v/>
      </c>
      <c r="H284" t="e" cm="1">
        <f t="array" ref="H284">_xlfn.TEXTSPLIT(E284,"/")</f>
        <v>#VALUE!</v>
      </c>
    </row>
    <row r="285" spans="2:8" x14ac:dyDescent="0.3">
      <c r="B285" t="str">
        <f>IF(COUNTIF(C285:I285,UI!B$2)=0,"/nope/",ROW(A285)-1)</f>
        <v>/nope/</v>
      </c>
      <c r="C285" s="1" t="str" cm="1">
        <f t="array" ref="C285">IF(A285="","",_xlfn.TEXTSPLIT(A285,","))</f>
        <v/>
      </c>
      <c r="G285" s="1" t="str">
        <f t="shared" si="4"/>
        <v/>
      </c>
      <c r="H285" t="e" cm="1">
        <f t="array" ref="H285">_xlfn.TEXTSPLIT(E285,"/")</f>
        <v>#VALUE!</v>
      </c>
    </row>
    <row r="286" spans="2:8" x14ac:dyDescent="0.3">
      <c r="B286" t="str">
        <f>IF(COUNTIF(C286:I286,UI!B$2)=0,"/nope/",ROW(A286)-1)</f>
        <v>/nope/</v>
      </c>
      <c r="C286" s="1" t="str" cm="1">
        <f t="array" ref="C286">IF(A286="","",_xlfn.TEXTSPLIT(A286,","))</f>
        <v/>
      </c>
      <c r="G286" s="1" t="str">
        <f t="shared" si="4"/>
        <v/>
      </c>
      <c r="H286" t="e" cm="1">
        <f t="array" ref="H286">_xlfn.TEXTSPLIT(E286,"/")</f>
        <v>#VALUE!</v>
      </c>
    </row>
    <row r="287" spans="2:8" x14ac:dyDescent="0.3">
      <c r="B287" t="str">
        <f>IF(COUNTIF(C287:I287,UI!B$2)=0,"/nope/",ROW(A287)-1)</f>
        <v>/nope/</v>
      </c>
      <c r="C287" s="1" t="str" cm="1">
        <f t="array" ref="C287">IF(A287="","",_xlfn.TEXTSPLIT(A287,","))</f>
        <v/>
      </c>
      <c r="G287" s="1" t="str">
        <f t="shared" si="4"/>
        <v/>
      </c>
      <c r="H287" t="e" cm="1">
        <f t="array" ref="H287">_xlfn.TEXTSPLIT(E287,"/")</f>
        <v>#VALUE!</v>
      </c>
    </row>
    <row r="288" spans="2:8" x14ac:dyDescent="0.3">
      <c r="B288" t="str">
        <f>IF(COUNTIF(C288:I288,UI!B$2)=0,"/nope/",ROW(A288)-1)</f>
        <v>/nope/</v>
      </c>
      <c r="C288" s="1" t="str" cm="1">
        <f t="array" ref="C288">IF(A288="","",_xlfn.TEXTSPLIT(A288,","))</f>
        <v/>
      </c>
      <c r="G288" s="1" t="str">
        <f t="shared" si="4"/>
        <v/>
      </c>
      <c r="H288" t="e" cm="1">
        <f t="array" ref="H288">_xlfn.TEXTSPLIT(E288,"/")</f>
        <v>#VALUE!</v>
      </c>
    </row>
    <row r="289" spans="2:8" x14ac:dyDescent="0.3">
      <c r="B289" t="str">
        <f>IF(COUNTIF(C289:I289,UI!B$2)=0,"/nope/",ROW(A289)-1)</f>
        <v>/nope/</v>
      </c>
      <c r="C289" s="1" t="str" cm="1">
        <f t="array" ref="C289">IF(A289="","",_xlfn.TEXTSPLIT(A289,","))</f>
        <v/>
      </c>
      <c r="G289" s="1" t="str">
        <f t="shared" si="4"/>
        <v/>
      </c>
      <c r="H289" t="e" cm="1">
        <f t="array" ref="H289">_xlfn.TEXTSPLIT(E289,"/")</f>
        <v>#VALUE!</v>
      </c>
    </row>
    <row r="290" spans="2:8" x14ac:dyDescent="0.3">
      <c r="B290" t="str">
        <f>IF(COUNTIF(C290:I290,UI!B$2)=0,"/nope/",ROW(A290)-1)</f>
        <v>/nope/</v>
      </c>
      <c r="C290" s="1" t="str" cm="1">
        <f t="array" ref="C290">IF(A290="","",_xlfn.TEXTSPLIT(A290,","))</f>
        <v/>
      </c>
      <c r="G290" s="1" t="str">
        <f t="shared" si="4"/>
        <v/>
      </c>
      <c r="H290" t="e" cm="1">
        <f t="array" ref="H290">_xlfn.TEXTSPLIT(E290,"/")</f>
        <v>#VALUE!</v>
      </c>
    </row>
    <row r="291" spans="2:8" x14ac:dyDescent="0.3">
      <c r="B291" t="str">
        <f>IF(COUNTIF(C291:I291,UI!B$2)=0,"/nope/",ROW(A291)-1)</f>
        <v>/nope/</v>
      </c>
      <c r="C291" s="1" t="str" cm="1">
        <f t="array" ref="C291">IF(A291="","",_xlfn.TEXTSPLIT(A291,","))</f>
        <v/>
      </c>
      <c r="G291" s="1" t="str">
        <f t="shared" si="4"/>
        <v/>
      </c>
      <c r="H291" t="e" cm="1">
        <f t="array" ref="H291">_xlfn.TEXTSPLIT(E291,"/")</f>
        <v>#VALUE!</v>
      </c>
    </row>
    <row r="292" spans="2:8" x14ac:dyDescent="0.3">
      <c r="B292" t="str">
        <f>IF(COUNTIF(C292:I292,UI!B$2)=0,"/nope/",ROW(A292)-1)</f>
        <v>/nope/</v>
      </c>
      <c r="C292" s="1" t="str" cm="1">
        <f t="array" ref="C292">IF(A292="","",_xlfn.TEXTSPLIT(A292,","))</f>
        <v/>
      </c>
      <c r="G292" s="1" t="str">
        <f t="shared" si="4"/>
        <v/>
      </c>
      <c r="H292" t="e" cm="1">
        <f t="array" ref="H292">_xlfn.TEXTSPLIT(E292,"/")</f>
        <v>#VALUE!</v>
      </c>
    </row>
    <row r="293" spans="2:8" x14ac:dyDescent="0.3">
      <c r="B293" t="str">
        <f>IF(COUNTIF(C293:I293,UI!B$2)=0,"/nope/",ROW(A293)-1)</f>
        <v>/nope/</v>
      </c>
      <c r="C293" s="1" t="str" cm="1">
        <f t="array" ref="C293">IF(A293="","",_xlfn.TEXTSPLIT(A293,","))</f>
        <v/>
      </c>
      <c r="G293" s="1" t="str">
        <f t="shared" si="4"/>
        <v/>
      </c>
      <c r="H293" t="e" cm="1">
        <f t="array" ref="H293">_xlfn.TEXTSPLIT(E293,"/")</f>
        <v>#VALUE!</v>
      </c>
    </row>
    <row r="294" spans="2:8" x14ac:dyDescent="0.3">
      <c r="B294" t="str">
        <f>IF(COUNTIF(C294:I294,UI!B$2)=0,"/nope/",ROW(A294)-1)</f>
        <v>/nope/</v>
      </c>
      <c r="C294" s="1" t="str" cm="1">
        <f t="array" ref="C294">IF(A294="","",_xlfn.TEXTSPLIT(A294,","))</f>
        <v/>
      </c>
      <c r="G294" s="1" t="str">
        <f t="shared" si="4"/>
        <v/>
      </c>
      <c r="H294" t="e" cm="1">
        <f t="array" ref="H294">_xlfn.TEXTSPLIT(E294,"/")</f>
        <v>#VALUE!</v>
      </c>
    </row>
    <row r="295" spans="2:8" x14ac:dyDescent="0.3">
      <c r="B295" t="str">
        <f>IF(COUNTIF(C295:I295,UI!B$2)=0,"/nope/",ROW(A295)-1)</f>
        <v>/nope/</v>
      </c>
      <c r="C295" s="1" t="str" cm="1">
        <f t="array" ref="C295">IF(A295="","",_xlfn.TEXTSPLIT(A295,","))</f>
        <v/>
      </c>
      <c r="G295" s="1" t="str">
        <f t="shared" si="4"/>
        <v/>
      </c>
      <c r="H295" t="e" cm="1">
        <f t="array" ref="H295">_xlfn.TEXTSPLIT(E295,"/")</f>
        <v>#VALUE!</v>
      </c>
    </row>
    <row r="296" spans="2:8" x14ac:dyDescent="0.3">
      <c r="B296" t="str">
        <f>IF(COUNTIF(C296:I296,UI!B$2)=0,"/nope/",ROW(A296)-1)</f>
        <v>/nope/</v>
      </c>
      <c r="C296" s="1" t="str" cm="1">
        <f t="array" ref="C296">IF(A296="","",_xlfn.TEXTSPLIT(A296,","))</f>
        <v/>
      </c>
      <c r="G296" s="1" t="str">
        <f t="shared" si="4"/>
        <v/>
      </c>
      <c r="H296" t="e" cm="1">
        <f t="array" ref="H296">_xlfn.TEXTSPLIT(E296,"/")</f>
        <v>#VALUE!</v>
      </c>
    </row>
    <row r="297" spans="2:8" x14ac:dyDescent="0.3">
      <c r="B297" t="str">
        <f>IF(COUNTIF(C297:I297,UI!B$2)=0,"/nope/",ROW(A297)-1)</f>
        <v>/nope/</v>
      </c>
      <c r="C297" s="1" t="str" cm="1">
        <f t="array" ref="C297">IF(A297="","",_xlfn.TEXTSPLIT(A297,","))</f>
        <v/>
      </c>
      <c r="G297" s="1" t="str">
        <f t="shared" si="4"/>
        <v/>
      </c>
      <c r="H297" t="e" cm="1">
        <f t="array" ref="H297">_xlfn.TEXTSPLIT(E297,"/")</f>
        <v>#VALUE!</v>
      </c>
    </row>
    <row r="298" spans="2:8" x14ac:dyDescent="0.3">
      <c r="B298" t="str">
        <f>IF(COUNTIF(C298:I298,UI!B$2)=0,"/nope/",ROW(A298)-1)</f>
        <v>/nope/</v>
      </c>
      <c r="C298" s="1" t="str" cm="1">
        <f t="array" ref="C298">IF(A298="","",_xlfn.TEXTSPLIT(A298,","))</f>
        <v/>
      </c>
      <c r="G298" s="1" t="str">
        <f t="shared" si="4"/>
        <v/>
      </c>
      <c r="H298" t="e" cm="1">
        <f t="array" ref="H298">_xlfn.TEXTSPLIT(E298,"/")</f>
        <v>#VALUE!</v>
      </c>
    </row>
    <row r="299" spans="2:8" x14ac:dyDescent="0.3">
      <c r="B299" t="str">
        <f>IF(COUNTIF(C299:I299,UI!B$2)=0,"/nope/",ROW(A299)-1)</f>
        <v>/nope/</v>
      </c>
      <c r="C299" s="1" t="str" cm="1">
        <f t="array" ref="C299">IF(A299="","",_xlfn.TEXTSPLIT(A299,","))</f>
        <v/>
      </c>
      <c r="G299" s="1" t="str">
        <f t="shared" si="4"/>
        <v/>
      </c>
      <c r="H299" t="e" cm="1">
        <f t="array" ref="H299">_xlfn.TEXTSPLIT(E299,"/")</f>
        <v>#VALUE!</v>
      </c>
    </row>
    <row r="300" spans="2:8" x14ac:dyDescent="0.3">
      <c r="B300" t="str">
        <f>IF(COUNTIF(C300:I300,UI!B$2)=0,"/nope/",ROW(A300)-1)</f>
        <v>/nope/</v>
      </c>
      <c r="C300" s="1" t="str" cm="1">
        <f t="array" ref="C300">IF(A300="","",_xlfn.TEXTSPLIT(A300,","))</f>
        <v/>
      </c>
      <c r="G300" s="1" t="str">
        <f t="shared" si="4"/>
        <v/>
      </c>
      <c r="H300" t="e" cm="1">
        <f t="array" ref="H300">_xlfn.TEXTSPLIT(E300,"/")</f>
        <v>#VALUE!</v>
      </c>
    </row>
    <row r="301" spans="2:8" x14ac:dyDescent="0.3">
      <c r="B301" t="str">
        <f>IF(COUNTIF(C301:I301,UI!B$2)=0,"/nope/",ROW(A301)-1)</f>
        <v>/nope/</v>
      </c>
      <c r="C301" s="1" t="str" cm="1">
        <f t="array" ref="C301">IF(A301="","",_xlfn.TEXTSPLIT(A301,","))</f>
        <v/>
      </c>
      <c r="G301" s="1" t="str">
        <f t="shared" si="4"/>
        <v/>
      </c>
      <c r="H301" t="e" cm="1">
        <f t="array" ref="H301">_xlfn.TEXTSPLIT(E301,"/")</f>
        <v>#VALUE!</v>
      </c>
    </row>
    <row r="302" spans="2:8" x14ac:dyDescent="0.3">
      <c r="B302" t="str">
        <f>IF(COUNTIF(C302:I302,UI!B$2)=0,"/nope/",ROW(A302)-1)</f>
        <v>/nope/</v>
      </c>
      <c r="C302" s="1" t="str" cm="1">
        <f t="array" ref="C302">IF(A302="","",_xlfn.TEXTSPLIT(A302,","))</f>
        <v/>
      </c>
      <c r="G302" s="1" t="str">
        <f t="shared" si="4"/>
        <v/>
      </c>
      <c r="H302" t="e" cm="1">
        <f t="array" ref="H302">_xlfn.TEXTSPLIT(E302,"/")</f>
        <v>#VALUE!</v>
      </c>
    </row>
    <row r="303" spans="2:8" x14ac:dyDescent="0.3">
      <c r="B303" t="str">
        <f>IF(COUNTIF(C303:I303,UI!B$2)=0,"/nope/",ROW(A303)-1)</f>
        <v>/nope/</v>
      </c>
      <c r="C303" s="1" t="str" cm="1">
        <f t="array" ref="C303">IF(A303="","",_xlfn.TEXTSPLIT(A303,","))</f>
        <v/>
      </c>
      <c r="G303" s="1" t="str">
        <f t="shared" si="4"/>
        <v/>
      </c>
      <c r="H303" t="e" cm="1">
        <f t="array" ref="H303">_xlfn.TEXTSPLIT(E303,"/")</f>
        <v>#VALUE!</v>
      </c>
    </row>
    <row r="304" spans="2:8" x14ac:dyDescent="0.3">
      <c r="B304" t="str">
        <f>IF(COUNTIF(C304:I304,UI!B$2)=0,"/nope/",ROW(A304)-1)</f>
        <v>/nope/</v>
      </c>
      <c r="C304" s="1" t="str" cm="1">
        <f t="array" ref="C304">IF(A304="","",_xlfn.TEXTSPLIT(A304,","))</f>
        <v/>
      </c>
      <c r="G304" s="1" t="str">
        <f t="shared" si="4"/>
        <v/>
      </c>
      <c r="H304" t="e" cm="1">
        <f t="array" ref="H304">_xlfn.TEXTSPLIT(E304,"/")</f>
        <v>#VALUE!</v>
      </c>
    </row>
    <row r="305" spans="2:8" x14ac:dyDescent="0.3">
      <c r="B305" t="str">
        <f>IF(COUNTIF(C305:I305,UI!B$2)=0,"/nope/",ROW(A305)-1)</f>
        <v>/nope/</v>
      </c>
      <c r="C305" s="1" t="str" cm="1">
        <f t="array" ref="C305">IF(A305="","",_xlfn.TEXTSPLIT(A305,","))</f>
        <v/>
      </c>
      <c r="G305" s="1" t="str">
        <f t="shared" si="4"/>
        <v/>
      </c>
      <c r="H305" t="e" cm="1">
        <f t="array" ref="H305">_xlfn.TEXTSPLIT(E305,"/")</f>
        <v>#VALUE!</v>
      </c>
    </row>
    <row r="306" spans="2:8" x14ac:dyDescent="0.3">
      <c r="B306" t="str">
        <f>IF(COUNTIF(C306:I306,UI!B$2)=0,"/nope/",ROW(A306)-1)</f>
        <v>/nope/</v>
      </c>
      <c r="C306" s="1" t="str" cm="1">
        <f t="array" ref="C306">IF(A306="","",_xlfn.TEXTSPLIT(A306,","))</f>
        <v/>
      </c>
      <c r="G306" s="1" t="str">
        <f t="shared" si="4"/>
        <v/>
      </c>
      <c r="H306" t="e" cm="1">
        <f t="array" ref="H306">_xlfn.TEXTSPLIT(E306,"/")</f>
        <v>#VALUE!</v>
      </c>
    </row>
    <row r="307" spans="2:8" x14ac:dyDescent="0.3">
      <c r="B307" t="str">
        <f>IF(COUNTIF(C307:I307,UI!B$2)=0,"/nope/",ROW(A307)-1)</f>
        <v>/nope/</v>
      </c>
      <c r="C307" s="1" t="str" cm="1">
        <f t="array" ref="C307">IF(A307="","",_xlfn.TEXTSPLIT(A307,","))</f>
        <v/>
      </c>
      <c r="G307" s="1" t="str">
        <f t="shared" si="4"/>
        <v/>
      </c>
      <c r="H307" t="e" cm="1">
        <f t="array" ref="H307">_xlfn.TEXTSPLIT(E307,"/")</f>
        <v>#VALUE!</v>
      </c>
    </row>
    <row r="308" spans="2:8" x14ac:dyDescent="0.3">
      <c r="B308" t="str">
        <f>IF(COUNTIF(C308:I308,UI!B$2)=0,"/nope/",ROW(A308)-1)</f>
        <v>/nope/</v>
      </c>
      <c r="C308" s="1" t="str" cm="1">
        <f t="array" ref="C308">IF(A308="","",_xlfn.TEXTSPLIT(A308,","))</f>
        <v/>
      </c>
      <c r="G308" s="1" t="str">
        <f t="shared" si="4"/>
        <v/>
      </c>
      <c r="H308" t="e" cm="1">
        <f t="array" ref="H308">_xlfn.TEXTSPLIT(E308,"/")</f>
        <v>#VALUE!</v>
      </c>
    </row>
    <row r="309" spans="2:8" x14ac:dyDescent="0.3">
      <c r="B309" t="str">
        <f>IF(COUNTIF(C309:I309,UI!B$2)=0,"/nope/",ROW(A309)-1)</f>
        <v>/nope/</v>
      </c>
      <c r="C309" s="1" t="str" cm="1">
        <f t="array" ref="C309">IF(A309="","",_xlfn.TEXTSPLIT(A309,","))</f>
        <v/>
      </c>
      <c r="G309" s="1" t="str">
        <f t="shared" si="4"/>
        <v/>
      </c>
      <c r="H309" t="e" cm="1">
        <f t="array" ref="H309">_xlfn.TEXTSPLIT(E309,"/")</f>
        <v>#VALUE!</v>
      </c>
    </row>
    <row r="310" spans="2:8" x14ac:dyDescent="0.3">
      <c r="B310" t="str">
        <f>IF(COUNTIF(C310:I310,UI!B$2)=0,"/nope/",ROW(A310)-1)</f>
        <v>/nope/</v>
      </c>
      <c r="C310" s="1" t="str" cm="1">
        <f t="array" ref="C310">IF(A310="","",_xlfn.TEXTSPLIT(A310,","))</f>
        <v/>
      </c>
      <c r="G310" s="1" t="str">
        <f t="shared" si="4"/>
        <v/>
      </c>
      <c r="H310" t="e" cm="1">
        <f t="array" ref="H310">_xlfn.TEXTSPLIT(E310,"/")</f>
        <v>#VALUE!</v>
      </c>
    </row>
    <row r="311" spans="2:8" x14ac:dyDescent="0.3">
      <c r="B311" t="str">
        <f>IF(COUNTIF(C311:I311,UI!B$2)=0,"/nope/",ROW(A311)-1)</f>
        <v>/nope/</v>
      </c>
      <c r="C311" s="1" t="str" cm="1">
        <f t="array" ref="C311">IF(A311="","",_xlfn.TEXTSPLIT(A311,","))</f>
        <v/>
      </c>
      <c r="G311" s="1" t="str">
        <f t="shared" si="4"/>
        <v/>
      </c>
      <c r="H311" t="e" cm="1">
        <f t="array" ref="H311">_xlfn.TEXTSPLIT(E311,"/")</f>
        <v>#VALUE!</v>
      </c>
    </row>
    <row r="312" spans="2:8" x14ac:dyDescent="0.3">
      <c r="B312" t="str">
        <f>IF(COUNTIF(C312:I312,UI!B$2)=0,"/nope/",ROW(A312)-1)</f>
        <v>/nope/</v>
      </c>
      <c r="C312" s="1" t="str" cm="1">
        <f t="array" ref="C312">IF(A312="","",_xlfn.TEXTSPLIT(A312,","))</f>
        <v/>
      </c>
      <c r="G312" s="1" t="str">
        <f t="shared" si="4"/>
        <v/>
      </c>
      <c r="H312" t="e" cm="1">
        <f t="array" ref="H312">_xlfn.TEXTSPLIT(E312,"/")</f>
        <v>#VALUE!</v>
      </c>
    </row>
    <row r="313" spans="2:8" x14ac:dyDescent="0.3">
      <c r="B313" t="str">
        <f>IF(COUNTIF(C313:I313,UI!B$2)=0,"/nope/",ROW(A313)-1)</f>
        <v>/nope/</v>
      </c>
      <c r="C313" s="1" t="str" cm="1">
        <f t="array" ref="C313">IF(A313="","",_xlfn.TEXTSPLIT(A313,","))</f>
        <v/>
      </c>
      <c r="G313" s="1" t="str">
        <f t="shared" si="4"/>
        <v/>
      </c>
      <c r="H313" t="e" cm="1">
        <f t="array" ref="H313">_xlfn.TEXTSPLIT(E313,"/")</f>
        <v>#VALUE!</v>
      </c>
    </row>
    <row r="314" spans="2:8" x14ac:dyDescent="0.3">
      <c r="B314" t="str">
        <f>IF(COUNTIF(C314:I314,UI!B$2)=0,"/nope/",ROW(A314)-1)</f>
        <v>/nope/</v>
      </c>
      <c r="C314" s="1" t="str" cm="1">
        <f t="array" ref="C314">IF(A314="","",_xlfn.TEXTSPLIT(A314,","))</f>
        <v/>
      </c>
      <c r="G314" s="1" t="str">
        <f t="shared" si="4"/>
        <v/>
      </c>
      <c r="H314" t="e" cm="1">
        <f t="array" ref="H314">_xlfn.TEXTSPLIT(E314,"/")</f>
        <v>#VALUE!</v>
      </c>
    </row>
    <row r="315" spans="2:8" x14ac:dyDescent="0.3">
      <c r="B315" t="str">
        <f>IF(COUNTIF(C315:I315,UI!B$2)=0,"/nope/",ROW(A315)-1)</f>
        <v>/nope/</v>
      </c>
      <c r="C315" s="1" t="str" cm="1">
        <f t="array" ref="C315">IF(A315="","",_xlfn.TEXTSPLIT(A315,","))</f>
        <v/>
      </c>
      <c r="G315" s="1" t="str">
        <f t="shared" si="4"/>
        <v/>
      </c>
      <c r="H315" t="e" cm="1">
        <f t="array" ref="H315">_xlfn.TEXTSPLIT(E315,"/")</f>
        <v>#VALUE!</v>
      </c>
    </row>
    <row r="316" spans="2:8" x14ac:dyDescent="0.3">
      <c r="B316" t="str">
        <f>IF(COUNTIF(C316:I316,UI!B$2)=0,"/nope/",ROW(A316)-1)</f>
        <v>/nope/</v>
      </c>
      <c r="C316" s="1" t="str" cm="1">
        <f t="array" ref="C316">IF(A316="","",_xlfn.TEXTSPLIT(A316,","))</f>
        <v/>
      </c>
      <c r="G316" s="1" t="str">
        <f t="shared" si="4"/>
        <v/>
      </c>
      <c r="H316" t="e" cm="1">
        <f t="array" ref="H316">_xlfn.TEXTSPLIT(E316,"/")</f>
        <v>#VALUE!</v>
      </c>
    </row>
    <row r="317" spans="2:8" x14ac:dyDescent="0.3">
      <c r="B317" t="str">
        <f>IF(COUNTIF(C317:I317,UI!B$2)=0,"/nope/",ROW(A317)-1)</f>
        <v>/nope/</v>
      </c>
      <c r="C317" s="1" t="str" cm="1">
        <f t="array" ref="C317">IF(A317="","",_xlfn.TEXTSPLIT(A317,","))</f>
        <v/>
      </c>
      <c r="G317" s="1" t="str">
        <f t="shared" si="4"/>
        <v/>
      </c>
      <c r="H317" t="e" cm="1">
        <f t="array" ref="H317">_xlfn.TEXTSPLIT(E317,"/")</f>
        <v>#VALUE!</v>
      </c>
    </row>
    <row r="318" spans="2:8" x14ac:dyDescent="0.3">
      <c r="B318" t="str">
        <f>IF(COUNTIF(C318:I318,UI!B$2)=0,"/nope/",ROW(A318)-1)</f>
        <v>/nope/</v>
      </c>
      <c r="C318" s="1" t="str" cm="1">
        <f t="array" ref="C318">IF(A318="","",_xlfn.TEXTSPLIT(A318,","))</f>
        <v/>
      </c>
      <c r="G318" s="1" t="str">
        <f t="shared" si="4"/>
        <v/>
      </c>
      <c r="H318" t="e" cm="1">
        <f t="array" ref="H318">_xlfn.TEXTSPLIT(E318,"/")</f>
        <v>#VALUE!</v>
      </c>
    </row>
    <row r="319" spans="2:8" x14ac:dyDescent="0.3">
      <c r="B319" t="str">
        <f>IF(COUNTIF(C319:I319,UI!B$2)=0,"/nope/",ROW(A319)-1)</f>
        <v>/nope/</v>
      </c>
      <c r="C319" s="1" t="str" cm="1">
        <f t="array" ref="C319">IF(A319="","",_xlfn.TEXTSPLIT(A319,","))</f>
        <v/>
      </c>
      <c r="G319" s="1" t="str">
        <f t="shared" si="4"/>
        <v/>
      </c>
      <c r="H319" t="e" cm="1">
        <f t="array" ref="H319">_xlfn.TEXTSPLIT(E319,"/")</f>
        <v>#VALUE!</v>
      </c>
    </row>
    <row r="320" spans="2:8" x14ac:dyDescent="0.3">
      <c r="B320" t="str">
        <f>IF(COUNTIF(C320:I320,UI!B$2)=0,"/nope/",ROW(A320)-1)</f>
        <v>/nope/</v>
      </c>
      <c r="C320" s="1" t="str" cm="1">
        <f t="array" ref="C320">IF(A320="","",_xlfn.TEXTSPLIT(A320,","))</f>
        <v/>
      </c>
      <c r="G320" s="1" t="str">
        <f t="shared" si="4"/>
        <v/>
      </c>
      <c r="H320" t="e" cm="1">
        <f t="array" ref="H320">_xlfn.TEXTSPLIT(E320,"/")</f>
        <v>#VALUE!</v>
      </c>
    </row>
    <row r="321" spans="2:8" x14ac:dyDescent="0.3">
      <c r="B321" t="str">
        <f>IF(COUNTIF(C321:I321,UI!B$2)=0,"/nope/",ROW(A321)-1)</f>
        <v>/nope/</v>
      </c>
      <c r="C321" s="1" t="str" cm="1">
        <f t="array" ref="C321">IF(A321="","",_xlfn.TEXTSPLIT(A321,","))</f>
        <v/>
      </c>
      <c r="G321" s="1" t="str">
        <f t="shared" si="4"/>
        <v/>
      </c>
      <c r="H321" t="e" cm="1">
        <f t="array" ref="H321">_xlfn.TEXTSPLIT(E321,"/")</f>
        <v>#VALUE!</v>
      </c>
    </row>
    <row r="322" spans="2:8" x14ac:dyDescent="0.3">
      <c r="B322" t="str">
        <f>IF(COUNTIF(C322:I322,UI!B$2)=0,"/nope/",ROW(A322)-1)</f>
        <v>/nope/</v>
      </c>
      <c r="C322" s="1" t="str" cm="1">
        <f t="array" ref="C322">IF(A322="","",_xlfn.TEXTSPLIT(A322,","))</f>
        <v/>
      </c>
      <c r="G322" s="1" t="str">
        <f t="shared" ref="G322:G385" si="5">IF(E322="","",IF(I322="",E322,""))</f>
        <v/>
      </c>
      <c r="H322" t="e" cm="1">
        <f t="array" ref="H322">_xlfn.TEXTSPLIT(E322,"/")</f>
        <v>#VALUE!</v>
      </c>
    </row>
    <row r="323" spans="2:8" x14ac:dyDescent="0.3">
      <c r="B323" t="str">
        <f>IF(COUNTIF(C323:I323,UI!B$2)=0,"/nope/",ROW(A323)-1)</f>
        <v>/nope/</v>
      </c>
      <c r="C323" s="1" t="str" cm="1">
        <f t="array" ref="C323">IF(A323="","",_xlfn.TEXTSPLIT(A323,","))</f>
        <v/>
      </c>
      <c r="G323" s="1" t="str">
        <f t="shared" si="5"/>
        <v/>
      </c>
      <c r="H323" t="e" cm="1">
        <f t="array" ref="H323">_xlfn.TEXTSPLIT(E323,"/")</f>
        <v>#VALUE!</v>
      </c>
    </row>
    <row r="324" spans="2:8" x14ac:dyDescent="0.3">
      <c r="B324" t="str">
        <f>IF(COUNTIF(C324:I324,UI!B$2)=0,"/nope/",ROW(A324)-1)</f>
        <v>/nope/</v>
      </c>
      <c r="C324" s="1" t="str" cm="1">
        <f t="array" ref="C324">IF(A324="","",_xlfn.TEXTSPLIT(A324,","))</f>
        <v/>
      </c>
      <c r="G324" s="1" t="str">
        <f t="shared" si="5"/>
        <v/>
      </c>
      <c r="H324" t="e" cm="1">
        <f t="array" ref="H324">_xlfn.TEXTSPLIT(E324,"/")</f>
        <v>#VALUE!</v>
      </c>
    </row>
    <row r="325" spans="2:8" x14ac:dyDescent="0.3">
      <c r="B325" t="str">
        <f>IF(COUNTIF(C325:I325,UI!B$2)=0,"/nope/",ROW(A325)-1)</f>
        <v>/nope/</v>
      </c>
      <c r="C325" s="1" t="str" cm="1">
        <f t="array" ref="C325">IF(A325="","",_xlfn.TEXTSPLIT(A325,","))</f>
        <v/>
      </c>
      <c r="G325" s="1" t="str">
        <f t="shared" si="5"/>
        <v/>
      </c>
      <c r="H325" t="e" cm="1">
        <f t="array" ref="H325">_xlfn.TEXTSPLIT(E325,"/")</f>
        <v>#VALUE!</v>
      </c>
    </row>
    <row r="326" spans="2:8" x14ac:dyDescent="0.3">
      <c r="B326" t="str">
        <f>IF(COUNTIF(C326:I326,UI!B$2)=0,"/nope/",ROW(A326)-1)</f>
        <v>/nope/</v>
      </c>
      <c r="C326" s="1" t="str" cm="1">
        <f t="array" ref="C326">IF(A326="","",_xlfn.TEXTSPLIT(A326,","))</f>
        <v/>
      </c>
      <c r="G326" s="1" t="str">
        <f t="shared" si="5"/>
        <v/>
      </c>
      <c r="H326" t="e" cm="1">
        <f t="array" ref="H326">_xlfn.TEXTSPLIT(E326,"/")</f>
        <v>#VALUE!</v>
      </c>
    </row>
    <row r="327" spans="2:8" x14ac:dyDescent="0.3">
      <c r="B327" t="str">
        <f>IF(COUNTIF(C327:I327,UI!B$2)=0,"/nope/",ROW(A327)-1)</f>
        <v>/nope/</v>
      </c>
      <c r="C327" s="1" t="str" cm="1">
        <f t="array" ref="C327">IF(A327="","",_xlfn.TEXTSPLIT(A327,","))</f>
        <v/>
      </c>
      <c r="G327" s="1" t="str">
        <f t="shared" si="5"/>
        <v/>
      </c>
      <c r="H327" t="e" cm="1">
        <f t="array" ref="H327">_xlfn.TEXTSPLIT(E327,"/")</f>
        <v>#VALUE!</v>
      </c>
    </row>
    <row r="328" spans="2:8" x14ac:dyDescent="0.3">
      <c r="B328" t="str">
        <f>IF(COUNTIF(C328:I328,UI!B$2)=0,"/nope/",ROW(A328)-1)</f>
        <v>/nope/</v>
      </c>
      <c r="C328" s="1" t="str" cm="1">
        <f t="array" ref="C328">IF(A328="","",_xlfn.TEXTSPLIT(A328,","))</f>
        <v/>
      </c>
      <c r="G328" s="1" t="str">
        <f t="shared" si="5"/>
        <v/>
      </c>
      <c r="H328" t="e" cm="1">
        <f t="array" ref="H328">_xlfn.TEXTSPLIT(E328,"/")</f>
        <v>#VALUE!</v>
      </c>
    </row>
    <row r="329" spans="2:8" x14ac:dyDescent="0.3">
      <c r="B329" t="str">
        <f>IF(COUNTIF(C329:I329,UI!B$2)=0,"/nope/",ROW(A329)-1)</f>
        <v>/nope/</v>
      </c>
      <c r="C329" s="1" t="str" cm="1">
        <f t="array" ref="C329">IF(A329="","",_xlfn.TEXTSPLIT(A329,","))</f>
        <v/>
      </c>
      <c r="G329" s="1" t="str">
        <f t="shared" si="5"/>
        <v/>
      </c>
      <c r="H329" t="e" cm="1">
        <f t="array" ref="H329">_xlfn.TEXTSPLIT(E329,"/")</f>
        <v>#VALUE!</v>
      </c>
    </row>
    <row r="330" spans="2:8" x14ac:dyDescent="0.3">
      <c r="B330" t="str">
        <f>IF(COUNTIF(C330:I330,UI!B$2)=0,"/nope/",ROW(A330)-1)</f>
        <v>/nope/</v>
      </c>
      <c r="C330" s="1" t="str" cm="1">
        <f t="array" ref="C330">IF(A330="","",_xlfn.TEXTSPLIT(A330,","))</f>
        <v/>
      </c>
      <c r="G330" s="1" t="str">
        <f t="shared" si="5"/>
        <v/>
      </c>
      <c r="H330" t="e" cm="1">
        <f t="array" ref="H330">_xlfn.TEXTSPLIT(E330,"/")</f>
        <v>#VALUE!</v>
      </c>
    </row>
    <row r="331" spans="2:8" x14ac:dyDescent="0.3">
      <c r="B331" t="str">
        <f>IF(COUNTIF(C331:I331,UI!B$2)=0,"/nope/",ROW(A331)-1)</f>
        <v>/nope/</v>
      </c>
      <c r="C331" s="1" t="str" cm="1">
        <f t="array" ref="C331">IF(A331="","",_xlfn.TEXTSPLIT(A331,","))</f>
        <v/>
      </c>
      <c r="G331" s="1" t="str">
        <f t="shared" si="5"/>
        <v/>
      </c>
      <c r="H331" t="e" cm="1">
        <f t="array" ref="H331">_xlfn.TEXTSPLIT(E331,"/")</f>
        <v>#VALUE!</v>
      </c>
    </row>
    <row r="332" spans="2:8" x14ac:dyDescent="0.3">
      <c r="B332" t="str">
        <f>IF(COUNTIF(C332:I332,UI!B$2)=0,"/nope/",ROW(A332)-1)</f>
        <v>/nope/</v>
      </c>
      <c r="C332" s="1" t="str" cm="1">
        <f t="array" ref="C332">IF(A332="","",_xlfn.TEXTSPLIT(A332,","))</f>
        <v/>
      </c>
      <c r="G332" s="1" t="str">
        <f t="shared" si="5"/>
        <v/>
      </c>
      <c r="H332" t="e" cm="1">
        <f t="array" ref="H332">_xlfn.TEXTSPLIT(E332,"/")</f>
        <v>#VALUE!</v>
      </c>
    </row>
    <row r="333" spans="2:8" x14ac:dyDescent="0.3">
      <c r="B333" t="str">
        <f>IF(COUNTIF(C333:I333,UI!B$2)=0,"/nope/",ROW(A333)-1)</f>
        <v>/nope/</v>
      </c>
      <c r="C333" s="1" t="str" cm="1">
        <f t="array" ref="C333">IF(A333="","",_xlfn.TEXTSPLIT(A333,","))</f>
        <v/>
      </c>
      <c r="G333" s="1" t="str">
        <f t="shared" si="5"/>
        <v/>
      </c>
      <c r="H333" t="e" cm="1">
        <f t="array" ref="H333">_xlfn.TEXTSPLIT(E333,"/")</f>
        <v>#VALUE!</v>
      </c>
    </row>
    <row r="334" spans="2:8" x14ac:dyDescent="0.3">
      <c r="B334" t="str">
        <f>IF(COUNTIF(C334:I334,UI!B$2)=0,"/nope/",ROW(A334)-1)</f>
        <v>/nope/</v>
      </c>
      <c r="C334" s="1" t="str" cm="1">
        <f t="array" ref="C334">IF(A334="","",_xlfn.TEXTSPLIT(A334,","))</f>
        <v/>
      </c>
      <c r="G334" s="1" t="str">
        <f t="shared" si="5"/>
        <v/>
      </c>
      <c r="H334" t="e" cm="1">
        <f t="array" ref="H334">_xlfn.TEXTSPLIT(E334,"/")</f>
        <v>#VALUE!</v>
      </c>
    </row>
    <row r="335" spans="2:8" x14ac:dyDescent="0.3">
      <c r="B335" t="str">
        <f>IF(COUNTIF(C335:I335,UI!B$2)=0,"/nope/",ROW(A335)-1)</f>
        <v>/nope/</v>
      </c>
      <c r="C335" s="1" t="str" cm="1">
        <f t="array" ref="C335">IF(A335="","",_xlfn.TEXTSPLIT(A335,","))</f>
        <v/>
      </c>
      <c r="G335" s="1" t="str">
        <f t="shared" si="5"/>
        <v/>
      </c>
      <c r="H335" t="e" cm="1">
        <f t="array" ref="H335">_xlfn.TEXTSPLIT(E335,"/")</f>
        <v>#VALUE!</v>
      </c>
    </row>
    <row r="336" spans="2:8" x14ac:dyDescent="0.3">
      <c r="B336" t="str">
        <f>IF(COUNTIF(C336:I336,UI!B$2)=0,"/nope/",ROW(A336)-1)</f>
        <v>/nope/</v>
      </c>
      <c r="C336" s="1" t="str" cm="1">
        <f t="array" ref="C336">IF(A336="","",_xlfn.TEXTSPLIT(A336,","))</f>
        <v/>
      </c>
      <c r="G336" s="1" t="str">
        <f t="shared" si="5"/>
        <v/>
      </c>
      <c r="H336" t="e" cm="1">
        <f t="array" ref="H336">_xlfn.TEXTSPLIT(E336,"/")</f>
        <v>#VALUE!</v>
      </c>
    </row>
    <row r="337" spans="2:8" x14ac:dyDescent="0.3">
      <c r="B337" t="str">
        <f>IF(COUNTIF(C337:I337,UI!B$2)=0,"/nope/",ROW(A337)-1)</f>
        <v>/nope/</v>
      </c>
      <c r="C337" s="1" t="str" cm="1">
        <f t="array" ref="C337">IF(A337="","",_xlfn.TEXTSPLIT(A337,","))</f>
        <v/>
      </c>
      <c r="G337" s="1" t="str">
        <f t="shared" si="5"/>
        <v/>
      </c>
      <c r="H337" t="e" cm="1">
        <f t="array" ref="H337">_xlfn.TEXTSPLIT(E337,"/")</f>
        <v>#VALUE!</v>
      </c>
    </row>
    <row r="338" spans="2:8" x14ac:dyDescent="0.3">
      <c r="B338" t="str">
        <f>IF(COUNTIF(C338:I338,UI!B$2)=0,"/nope/",ROW(A338)-1)</f>
        <v>/nope/</v>
      </c>
      <c r="C338" s="1" t="str" cm="1">
        <f t="array" ref="C338">IF(A338="","",_xlfn.TEXTSPLIT(A338,","))</f>
        <v/>
      </c>
      <c r="G338" s="1" t="str">
        <f t="shared" si="5"/>
        <v/>
      </c>
      <c r="H338" t="e" cm="1">
        <f t="array" ref="H338">_xlfn.TEXTSPLIT(E338,"/")</f>
        <v>#VALUE!</v>
      </c>
    </row>
    <row r="339" spans="2:8" x14ac:dyDescent="0.3">
      <c r="B339" t="str">
        <f>IF(COUNTIF(C339:I339,UI!B$2)=0,"/nope/",ROW(A339)-1)</f>
        <v>/nope/</v>
      </c>
      <c r="C339" s="1" t="str" cm="1">
        <f t="array" ref="C339">IF(A339="","",_xlfn.TEXTSPLIT(A339,","))</f>
        <v/>
      </c>
      <c r="G339" s="1" t="str">
        <f t="shared" si="5"/>
        <v/>
      </c>
      <c r="H339" t="e" cm="1">
        <f t="array" ref="H339">_xlfn.TEXTSPLIT(E339,"/")</f>
        <v>#VALUE!</v>
      </c>
    </row>
    <row r="340" spans="2:8" x14ac:dyDescent="0.3">
      <c r="B340" t="str">
        <f>IF(COUNTIF(C340:I340,UI!B$2)=0,"/nope/",ROW(A340)-1)</f>
        <v>/nope/</v>
      </c>
      <c r="C340" s="1" t="str" cm="1">
        <f t="array" ref="C340">IF(A340="","",_xlfn.TEXTSPLIT(A340,","))</f>
        <v/>
      </c>
      <c r="G340" s="1" t="str">
        <f t="shared" si="5"/>
        <v/>
      </c>
      <c r="H340" t="e" cm="1">
        <f t="array" ref="H340">_xlfn.TEXTSPLIT(E340,"/")</f>
        <v>#VALUE!</v>
      </c>
    </row>
    <row r="341" spans="2:8" x14ac:dyDescent="0.3">
      <c r="B341" t="str">
        <f>IF(COUNTIF(C341:I341,UI!B$2)=0,"/nope/",ROW(A341)-1)</f>
        <v>/nope/</v>
      </c>
      <c r="C341" s="1" t="str" cm="1">
        <f t="array" ref="C341">IF(A341="","",_xlfn.TEXTSPLIT(A341,","))</f>
        <v/>
      </c>
      <c r="G341" s="1" t="str">
        <f t="shared" si="5"/>
        <v/>
      </c>
      <c r="H341" t="e" cm="1">
        <f t="array" ref="H341">_xlfn.TEXTSPLIT(E341,"/")</f>
        <v>#VALUE!</v>
      </c>
    </row>
    <row r="342" spans="2:8" x14ac:dyDescent="0.3">
      <c r="B342" t="str">
        <f>IF(COUNTIF(C342:I342,UI!B$2)=0,"/nope/",ROW(A342)-1)</f>
        <v>/nope/</v>
      </c>
      <c r="C342" s="1" t="str" cm="1">
        <f t="array" ref="C342">IF(A342="","",_xlfn.TEXTSPLIT(A342,","))</f>
        <v/>
      </c>
      <c r="G342" s="1" t="str">
        <f t="shared" si="5"/>
        <v/>
      </c>
      <c r="H342" t="e" cm="1">
        <f t="array" ref="H342">_xlfn.TEXTSPLIT(E342,"/")</f>
        <v>#VALUE!</v>
      </c>
    </row>
    <row r="343" spans="2:8" x14ac:dyDescent="0.3">
      <c r="B343" t="str">
        <f>IF(COUNTIF(C343:I343,UI!B$2)=0,"/nope/",ROW(A343)-1)</f>
        <v>/nope/</v>
      </c>
      <c r="C343" s="1" t="str" cm="1">
        <f t="array" ref="C343">IF(A343="","",_xlfn.TEXTSPLIT(A343,","))</f>
        <v/>
      </c>
      <c r="G343" s="1" t="str">
        <f t="shared" si="5"/>
        <v/>
      </c>
      <c r="H343" t="e" cm="1">
        <f t="array" ref="H343">_xlfn.TEXTSPLIT(E343,"/")</f>
        <v>#VALUE!</v>
      </c>
    </row>
    <row r="344" spans="2:8" x14ac:dyDescent="0.3">
      <c r="B344" t="str">
        <f>IF(COUNTIF(C344:I344,UI!B$2)=0,"/nope/",ROW(A344)-1)</f>
        <v>/nope/</v>
      </c>
      <c r="C344" s="1" t="str" cm="1">
        <f t="array" ref="C344">IF(A344="","",_xlfn.TEXTSPLIT(A344,","))</f>
        <v/>
      </c>
      <c r="G344" s="1" t="str">
        <f t="shared" si="5"/>
        <v/>
      </c>
      <c r="H344" t="e" cm="1">
        <f t="array" ref="H344">_xlfn.TEXTSPLIT(E344,"/")</f>
        <v>#VALUE!</v>
      </c>
    </row>
    <row r="345" spans="2:8" x14ac:dyDescent="0.3">
      <c r="B345" t="str">
        <f>IF(COUNTIF(C345:I345,UI!B$2)=0,"/nope/",ROW(A345)-1)</f>
        <v>/nope/</v>
      </c>
      <c r="C345" s="1" t="str" cm="1">
        <f t="array" ref="C345">IF(A345="","",_xlfn.TEXTSPLIT(A345,","))</f>
        <v/>
      </c>
      <c r="G345" s="1" t="str">
        <f t="shared" si="5"/>
        <v/>
      </c>
      <c r="H345" t="e" cm="1">
        <f t="array" ref="H345">_xlfn.TEXTSPLIT(E345,"/")</f>
        <v>#VALUE!</v>
      </c>
    </row>
    <row r="346" spans="2:8" x14ac:dyDescent="0.3">
      <c r="B346" t="str">
        <f>IF(COUNTIF(C346:I346,UI!B$2)=0,"/nope/",ROW(A346)-1)</f>
        <v>/nope/</v>
      </c>
      <c r="C346" s="1" t="str" cm="1">
        <f t="array" ref="C346">IF(A346="","",_xlfn.TEXTSPLIT(A346,","))</f>
        <v/>
      </c>
      <c r="G346" s="1" t="str">
        <f t="shared" si="5"/>
        <v/>
      </c>
      <c r="H346" t="e" cm="1">
        <f t="array" ref="H346">_xlfn.TEXTSPLIT(E346,"/")</f>
        <v>#VALUE!</v>
      </c>
    </row>
    <row r="347" spans="2:8" x14ac:dyDescent="0.3">
      <c r="B347" t="str">
        <f>IF(COUNTIF(C347:I347,UI!B$2)=0,"/nope/",ROW(A347)-1)</f>
        <v>/nope/</v>
      </c>
      <c r="C347" s="1" t="str" cm="1">
        <f t="array" ref="C347">IF(A347="","",_xlfn.TEXTSPLIT(A347,","))</f>
        <v/>
      </c>
      <c r="G347" s="1" t="str">
        <f t="shared" si="5"/>
        <v/>
      </c>
      <c r="H347" t="e" cm="1">
        <f t="array" ref="H347">_xlfn.TEXTSPLIT(E347,"/")</f>
        <v>#VALUE!</v>
      </c>
    </row>
    <row r="348" spans="2:8" x14ac:dyDescent="0.3">
      <c r="B348" t="str">
        <f>IF(COUNTIF(C348:I348,UI!B$2)=0,"/nope/",ROW(A348)-1)</f>
        <v>/nope/</v>
      </c>
      <c r="C348" s="1" t="str" cm="1">
        <f t="array" ref="C348">IF(A348="","",_xlfn.TEXTSPLIT(A348,","))</f>
        <v/>
      </c>
      <c r="G348" s="1" t="str">
        <f t="shared" si="5"/>
        <v/>
      </c>
      <c r="H348" t="e" cm="1">
        <f t="array" ref="H348">_xlfn.TEXTSPLIT(E348,"/")</f>
        <v>#VALUE!</v>
      </c>
    </row>
    <row r="349" spans="2:8" x14ac:dyDescent="0.3">
      <c r="B349" t="str">
        <f>IF(COUNTIF(C349:I349,UI!B$2)=0,"/nope/",ROW(A349)-1)</f>
        <v>/nope/</v>
      </c>
      <c r="C349" s="1" t="str" cm="1">
        <f t="array" ref="C349">IF(A349="","",_xlfn.TEXTSPLIT(A349,","))</f>
        <v/>
      </c>
      <c r="G349" s="1" t="str">
        <f t="shared" si="5"/>
        <v/>
      </c>
      <c r="H349" t="e" cm="1">
        <f t="array" ref="H349">_xlfn.TEXTSPLIT(E349,"/")</f>
        <v>#VALUE!</v>
      </c>
    </row>
    <row r="350" spans="2:8" x14ac:dyDescent="0.3">
      <c r="B350" t="str">
        <f>IF(COUNTIF(C350:I350,UI!B$2)=0,"/nope/",ROW(A350)-1)</f>
        <v>/nope/</v>
      </c>
      <c r="C350" s="1" t="str" cm="1">
        <f t="array" ref="C350">IF(A350="","",_xlfn.TEXTSPLIT(A350,","))</f>
        <v/>
      </c>
      <c r="G350" s="1" t="str">
        <f t="shared" si="5"/>
        <v/>
      </c>
      <c r="H350" t="e" cm="1">
        <f t="array" ref="H350">_xlfn.TEXTSPLIT(E350,"/")</f>
        <v>#VALUE!</v>
      </c>
    </row>
    <row r="351" spans="2:8" x14ac:dyDescent="0.3">
      <c r="B351" t="str">
        <f>IF(COUNTIF(C351:I351,UI!B$2)=0,"/nope/",ROW(A351)-1)</f>
        <v>/nope/</v>
      </c>
      <c r="C351" s="1" t="str" cm="1">
        <f t="array" ref="C351">IF(A351="","",_xlfn.TEXTSPLIT(A351,","))</f>
        <v/>
      </c>
      <c r="G351" s="1" t="str">
        <f t="shared" si="5"/>
        <v/>
      </c>
      <c r="H351" t="e" cm="1">
        <f t="array" ref="H351">_xlfn.TEXTSPLIT(E351,"/")</f>
        <v>#VALUE!</v>
      </c>
    </row>
    <row r="352" spans="2:8" x14ac:dyDescent="0.3">
      <c r="B352" t="str">
        <f>IF(COUNTIF(C352:I352,UI!B$2)=0,"/nope/",ROW(A352)-1)</f>
        <v>/nope/</v>
      </c>
      <c r="C352" s="1" t="str" cm="1">
        <f t="array" ref="C352">IF(A352="","",_xlfn.TEXTSPLIT(A352,","))</f>
        <v/>
      </c>
      <c r="G352" s="1" t="str">
        <f t="shared" si="5"/>
        <v/>
      </c>
      <c r="H352" t="e" cm="1">
        <f t="array" ref="H352">_xlfn.TEXTSPLIT(E352,"/")</f>
        <v>#VALUE!</v>
      </c>
    </row>
    <row r="353" spans="2:8" x14ac:dyDescent="0.3">
      <c r="B353" t="str">
        <f>IF(COUNTIF(C353:I353,UI!B$2)=0,"/nope/",ROW(A353)-1)</f>
        <v>/nope/</v>
      </c>
      <c r="C353" s="1" t="str" cm="1">
        <f t="array" ref="C353">IF(A353="","",_xlfn.TEXTSPLIT(A353,","))</f>
        <v/>
      </c>
      <c r="G353" s="1" t="str">
        <f t="shared" si="5"/>
        <v/>
      </c>
      <c r="H353" t="e" cm="1">
        <f t="array" ref="H353">_xlfn.TEXTSPLIT(E353,"/")</f>
        <v>#VALUE!</v>
      </c>
    </row>
    <row r="354" spans="2:8" x14ac:dyDescent="0.3">
      <c r="B354" t="str">
        <f>IF(COUNTIF(C354:I354,UI!B$2)=0,"/nope/",ROW(A354)-1)</f>
        <v>/nope/</v>
      </c>
      <c r="C354" s="1" t="str" cm="1">
        <f t="array" ref="C354">IF(A354="","",_xlfn.TEXTSPLIT(A354,","))</f>
        <v/>
      </c>
      <c r="G354" s="1" t="str">
        <f t="shared" si="5"/>
        <v/>
      </c>
      <c r="H354" t="e" cm="1">
        <f t="array" ref="H354">_xlfn.TEXTSPLIT(E354,"/")</f>
        <v>#VALUE!</v>
      </c>
    </row>
    <row r="355" spans="2:8" x14ac:dyDescent="0.3">
      <c r="B355" t="str">
        <f>IF(COUNTIF(C355:I355,UI!B$2)=0,"/nope/",ROW(A355)-1)</f>
        <v>/nope/</v>
      </c>
      <c r="C355" s="1" t="str" cm="1">
        <f t="array" ref="C355">IF(A355="","",_xlfn.TEXTSPLIT(A355,","))</f>
        <v/>
      </c>
      <c r="G355" s="1" t="str">
        <f t="shared" si="5"/>
        <v/>
      </c>
      <c r="H355" t="e" cm="1">
        <f t="array" ref="H355">_xlfn.TEXTSPLIT(E355,"/")</f>
        <v>#VALUE!</v>
      </c>
    </row>
    <row r="356" spans="2:8" x14ac:dyDescent="0.3">
      <c r="B356" t="str">
        <f>IF(COUNTIF(C356:I356,UI!B$2)=0,"/nope/",ROW(A356)-1)</f>
        <v>/nope/</v>
      </c>
      <c r="C356" s="1" t="str" cm="1">
        <f t="array" ref="C356">IF(A356="","",_xlfn.TEXTSPLIT(A356,","))</f>
        <v/>
      </c>
      <c r="G356" s="1" t="str">
        <f t="shared" si="5"/>
        <v/>
      </c>
      <c r="H356" t="e" cm="1">
        <f t="array" ref="H356">_xlfn.TEXTSPLIT(E356,"/")</f>
        <v>#VALUE!</v>
      </c>
    </row>
    <row r="357" spans="2:8" x14ac:dyDescent="0.3">
      <c r="B357" t="str">
        <f>IF(COUNTIF(C357:I357,UI!B$2)=0,"/nope/",ROW(A357)-1)</f>
        <v>/nope/</v>
      </c>
      <c r="C357" s="1" t="str" cm="1">
        <f t="array" ref="C357">IF(A357="","",_xlfn.TEXTSPLIT(A357,","))</f>
        <v/>
      </c>
      <c r="G357" s="1" t="str">
        <f t="shared" si="5"/>
        <v/>
      </c>
      <c r="H357" t="e" cm="1">
        <f t="array" ref="H357">_xlfn.TEXTSPLIT(E357,"/")</f>
        <v>#VALUE!</v>
      </c>
    </row>
    <row r="358" spans="2:8" x14ac:dyDescent="0.3">
      <c r="B358" t="str">
        <f>IF(COUNTIF(C358:I358,UI!B$2)=0,"/nope/",ROW(A358)-1)</f>
        <v>/nope/</v>
      </c>
      <c r="C358" s="1" t="str" cm="1">
        <f t="array" ref="C358">IF(A358="","",_xlfn.TEXTSPLIT(A358,","))</f>
        <v/>
      </c>
      <c r="G358" s="1" t="str">
        <f t="shared" si="5"/>
        <v/>
      </c>
      <c r="H358" t="e" cm="1">
        <f t="array" ref="H358">_xlfn.TEXTSPLIT(E358,"/")</f>
        <v>#VALUE!</v>
      </c>
    </row>
    <row r="359" spans="2:8" x14ac:dyDescent="0.3">
      <c r="B359" t="str">
        <f>IF(COUNTIF(C359:I359,UI!B$2)=0,"/nope/",ROW(A359)-1)</f>
        <v>/nope/</v>
      </c>
      <c r="C359" s="1" t="str" cm="1">
        <f t="array" ref="C359">IF(A359="","",_xlfn.TEXTSPLIT(A359,","))</f>
        <v/>
      </c>
      <c r="G359" s="1" t="str">
        <f t="shared" si="5"/>
        <v/>
      </c>
      <c r="H359" t="e" cm="1">
        <f t="array" ref="H359">_xlfn.TEXTSPLIT(E359,"/")</f>
        <v>#VALUE!</v>
      </c>
    </row>
    <row r="360" spans="2:8" x14ac:dyDescent="0.3">
      <c r="B360" t="str">
        <f>IF(COUNTIF(C360:I360,UI!B$2)=0,"/nope/",ROW(A360)-1)</f>
        <v>/nope/</v>
      </c>
      <c r="C360" s="1" t="str" cm="1">
        <f t="array" ref="C360">IF(A360="","",_xlfn.TEXTSPLIT(A360,","))</f>
        <v/>
      </c>
      <c r="G360" s="1" t="str">
        <f t="shared" si="5"/>
        <v/>
      </c>
      <c r="H360" t="e" cm="1">
        <f t="array" ref="H360">_xlfn.TEXTSPLIT(E360,"/")</f>
        <v>#VALUE!</v>
      </c>
    </row>
    <row r="361" spans="2:8" x14ac:dyDescent="0.3">
      <c r="B361" t="str">
        <f>IF(COUNTIF(C361:I361,UI!B$2)=0,"/nope/",ROW(A361)-1)</f>
        <v>/nope/</v>
      </c>
      <c r="C361" s="1" t="str" cm="1">
        <f t="array" ref="C361">IF(A361="","",_xlfn.TEXTSPLIT(A361,","))</f>
        <v/>
      </c>
      <c r="G361" s="1" t="str">
        <f t="shared" si="5"/>
        <v/>
      </c>
      <c r="H361" t="e" cm="1">
        <f t="array" ref="H361">_xlfn.TEXTSPLIT(E361,"/")</f>
        <v>#VALUE!</v>
      </c>
    </row>
    <row r="362" spans="2:8" x14ac:dyDescent="0.3">
      <c r="B362" t="str">
        <f>IF(COUNTIF(C362:I362,UI!B$2)=0,"/nope/",ROW(A362)-1)</f>
        <v>/nope/</v>
      </c>
      <c r="C362" s="1" t="str" cm="1">
        <f t="array" ref="C362">IF(A362="","",_xlfn.TEXTSPLIT(A362,","))</f>
        <v/>
      </c>
      <c r="G362" s="1" t="str">
        <f t="shared" si="5"/>
        <v/>
      </c>
      <c r="H362" t="e" cm="1">
        <f t="array" ref="H362">_xlfn.TEXTSPLIT(E362,"/")</f>
        <v>#VALUE!</v>
      </c>
    </row>
    <row r="363" spans="2:8" x14ac:dyDescent="0.3">
      <c r="B363" t="str">
        <f>IF(COUNTIF(C363:I363,UI!B$2)=0,"/nope/",ROW(A363)-1)</f>
        <v>/nope/</v>
      </c>
      <c r="C363" s="1" t="str" cm="1">
        <f t="array" ref="C363">IF(A363="","",_xlfn.TEXTSPLIT(A363,","))</f>
        <v/>
      </c>
      <c r="G363" s="1" t="str">
        <f t="shared" si="5"/>
        <v/>
      </c>
      <c r="H363" t="e" cm="1">
        <f t="array" ref="H363">_xlfn.TEXTSPLIT(E363,"/")</f>
        <v>#VALUE!</v>
      </c>
    </row>
    <row r="364" spans="2:8" x14ac:dyDescent="0.3">
      <c r="B364" t="str">
        <f>IF(COUNTIF(C364:I364,UI!B$2)=0,"/nope/",ROW(A364)-1)</f>
        <v>/nope/</v>
      </c>
      <c r="C364" s="1" t="str" cm="1">
        <f t="array" ref="C364">IF(A364="","",_xlfn.TEXTSPLIT(A364,","))</f>
        <v/>
      </c>
      <c r="G364" s="1" t="str">
        <f t="shared" si="5"/>
        <v/>
      </c>
      <c r="H364" t="e" cm="1">
        <f t="array" ref="H364">_xlfn.TEXTSPLIT(E364,"/")</f>
        <v>#VALUE!</v>
      </c>
    </row>
    <row r="365" spans="2:8" x14ac:dyDescent="0.3">
      <c r="B365" t="str">
        <f>IF(COUNTIF(C365:I365,UI!B$2)=0,"/nope/",ROW(A365)-1)</f>
        <v>/nope/</v>
      </c>
      <c r="C365" s="1" t="str" cm="1">
        <f t="array" ref="C365">IF(A365="","",_xlfn.TEXTSPLIT(A365,","))</f>
        <v/>
      </c>
      <c r="G365" s="1" t="str">
        <f t="shared" si="5"/>
        <v/>
      </c>
      <c r="H365" t="e" cm="1">
        <f t="array" ref="H365">_xlfn.TEXTSPLIT(E365,"/")</f>
        <v>#VALUE!</v>
      </c>
    </row>
    <row r="366" spans="2:8" x14ac:dyDescent="0.3">
      <c r="B366" t="str">
        <f>IF(COUNTIF(C366:I366,UI!B$2)=0,"/nope/",ROW(A366)-1)</f>
        <v>/nope/</v>
      </c>
      <c r="C366" s="1" t="str" cm="1">
        <f t="array" ref="C366">IF(A366="","",_xlfn.TEXTSPLIT(A366,","))</f>
        <v/>
      </c>
      <c r="G366" s="1" t="str">
        <f t="shared" si="5"/>
        <v/>
      </c>
      <c r="H366" t="e" cm="1">
        <f t="array" ref="H366">_xlfn.TEXTSPLIT(E366,"/")</f>
        <v>#VALUE!</v>
      </c>
    </row>
    <row r="367" spans="2:8" x14ac:dyDescent="0.3">
      <c r="B367" t="str">
        <f>IF(COUNTIF(C367:I367,UI!B$2)=0,"/nope/",ROW(A367)-1)</f>
        <v>/nope/</v>
      </c>
      <c r="C367" s="1" t="str" cm="1">
        <f t="array" ref="C367">IF(A367="","",_xlfn.TEXTSPLIT(A367,","))</f>
        <v/>
      </c>
      <c r="G367" s="1" t="str">
        <f t="shared" si="5"/>
        <v/>
      </c>
      <c r="H367" t="e" cm="1">
        <f t="array" ref="H367">_xlfn.TEXTSPLIT(E367,"/")</f>
        <v>#VALUE!</v>
      </c>
    </row>
    <row r="368" spans="2:8" x14ac:dyDescent="0.3">
      <c r="B368" t="str">
        <f>IF(COUNTIF(C368:I368,UI!B$2)=0,"/nope/",ROW(A368)-1)</f>
        <v>/nope/</v>
      </c>
      <c r="C368" s="1" t="str" cm="1">
        <f t="array" ref="C368">IF(A368="","",_xlfn.TEXTSPLIT(A368,","))</f>
        <v/>
      </c>
      <c r="G368" s="1" t="str">
        <f t="shared" si="5"/>
        <v/>
      </c>
      <c r="H368" t="e" cm="1">
        <f t="array" ref="H368">_xlfn.TEXTSPLIT(E368,"/")</f>
        <v>#VALUE!</v>
      </c>
    </row>
    <row r="369" spans="2:8" x14ac:dyDescent="0.3">
      <c r="B369" t="str">
        <f>IF(COUNTIF(C369:I369,UI!B$2)=0,"/nope/",ROW(A369)-1)</f>
        <v>/nope/</v>
      </c>
      <c r="C369" s="1" t="str" cm="1">
        <f t="array" ref="C369">IF(A369="","",_xlfn.TEXTSPLIT(A369,","))</f>
        <v/>
      </c>
      <c r="G369" s="1" t="str">
        <f t="shared" si="5"/>
        <v/>
      </c>
      <c r="H369" t="e" cm="1">
        <f t="array" ref="H369">_xlfn.TEXTSPLIT(E369,"/")</f>
        <v>#VALUE!</v>
      </c>
    </row>
    <row r="370" spans="2:8" x14ac:dyDescent="0.3">
      <c r="B370" t="str">
        <f>IF(COUNTIF(C370:I370,UI!B$2)=0,"/nope/",ROW(A370)-1)</f>
        <v>/nope/</v>
      </c>
      <c r="C370" s="1" t="str" cm="1">
        <f t="array" ref="C370">IF(A370="","",_xlfn.TEXTSPLIT(A370,","))</f>
        <v/>
      </c>
      <c r="G370" s="1" t="str">
        <f t="shared" si="5"/>
        <v/>
      </c>
      <c r="H370" t="e" cm="1">
        <f t="array" ref="H370">_xlfn.TEXTSPLIT(E370,"/")</f>
        <v>#VALUE!</v>
      </c>
    </row>
    <row r="371" spans="2:8" x14ac:dyDescent="0.3">
      <c r="B371" t="str">
        <f>IF(COUNTIF(C371:I371,UI!B$2)=0,"/nope/",ROW(A371)-1)</f>
        <v>/nope/</v>
      </c>
      <c r="C371" s="1" t="str" cm="1">
        <f t="array" ref="C371">IF(A371="","",_xlfn.TEXTSPLIT(A371,","))</f>
        <v/>
      </c>
      <c r="G371" s="1" t="str">
        <f t="shared" si="5"/>
        <v/>
      </c>
      <c r="H371" t="e" cm="1">
        <f t="array" ref="H371">_xlfn.TEXTSPLIT(E371,"/")</f>
        <v>#VALUE!</v>
      </c>
    </row>
    <row r="372" spans="2:8" x14ac:dyDescent="0.3">
      <c r="B372" t="str">
        <f>IF(COUNTIF(C372:I372,UI!B$2)=0,"/nope/",ROW(A372)-1)</f>
        <v>/nope/</v>
      </c>
      <c r="C372" s="1" t="str" cm="1">
        <f t="array" ref="C372">IF(A372="","",_xlfn.TEXTSPLIT(A372,","))</f>
        <v/>
      </c>
      <c r="G372" s="1" t="str">
        <f t="shared" si="5"/>
        <v/>
      </c>
      <c r="H372" t="e" cm="1">
        <f t="array" ref="H372">_xlfn.TEXTSPLIT(E372,"/")</f>
        <v>#VALUE!</v>
      </c>
    </row>
    <row r="373" spans="2:8" x14ac:dyDescent="0.3">
      <c r="B373" t="str">
        <f>IF(COUNTIF(C373:I373,UI!B$2)=0,"/nope/",ROW(A373)-1)</f>
        <v>/nope/</v>
      </c>
      <c r="C373" s="1" t="str" cm="1">
        <f t="array" ref="C373">IF(A373="","",_xlfn.TEXTSPLIT(A373,","))</f>
        <v/>
      </c>
      <c r="G373" s="1" t="str">
        <f t="shared" si="5"/>
        <v/>
      </c>
      <c r="H373" t="e" cm="1">
        <f t="array" ref="H373">_xlfn.TEXTSPLIT(E373,"/")</f>
        <v>#VALUE!</v>
      </c>
    </row>
    <row r="374" spans="2:8" x14ac:dyDescent="0.3">
      <c r="B374" t="str">
        <f>IF(COUNTIF(C374:I374,UI!B$2)=0,"/nope/",ROW(A374)-1)</f>
        <v>/nope/</v>
      </c>
      <c r="C374" s="1" t="str" cm="1">
        <f t="array" ref="C374">IF(A374="","",_xlfn.TEXTSPLIT(A374,","))</f>
        <v/>
      </c>
      <c r="G374" s="1" t="str">
        <f t="shared" si="5"/>
        <v/>
      </c>
      <c r="H374" t="e" cm="1">
        <f t="array" ref="H374">_xlfn.TEXTSPLIT(E374,"/")</f>
        <v>#VALUE!</v>
      </c>
    </row>
    <row r="375" spans="2:8" x14ac:dyDescent="0.3">
      <c r="B375" t="str">
        <f>IF(COUNTIF(C375:I375,UI!B$2)=0,"/nope/",ROW(A375)-1)</f>
        <v>/nope/</v>
      </c>
      <c r="C375" s="1" t="str" cm="1">
        <f t="array" ref="C375">IF(A375="","",_xlfn.TEXTSPLIT(A375,","))</f>
        <v/>
      </c>
      <c r="G375" s="1" t="str">
        <f t="shared" si="5"/>
        <v/>
      </c>
      <c r="H375" t="e" cm="1">
        <f t="array" ref="H375">_xlfn.TEXTSPLIT(E375,"/")</f>
        <v>#VALUE!</v>
      </c>
    </row>
    <row r="376" spans="2:8" x14ac:dyDescent="0.3">
      <c r="B376" t="str">
        <f>IF(COUNTIF(C376:I376,UI!B$2)=0,"/nope/",ROW(A376)-1)</f>
        <v>/nope/</v>
      </c>
      <c r="C376" s="1" t="str" cm="1">
        <f t="array" ref="C376">IF(A376="","",_xlfn.TEXTSPLIT(A376,","))</f>
        <v/>
      </c>
      <c r="G376" s="1" t="str">
        <f t="shared" si="5"/>
        <v/>
      </c>
      <c r="H376" t="e" cm="1">
        <f t="array" ref="H376">_xlfn.TEXTSPLIT(E376,"/")</f>
        <v>#VALUE!</v>
      </c>
    </row>
    <row r="377" spans="2:8" x14ac:dyDescent="0.3">
      <c r="B377" t="str">
        <f>IF(COUNTIF(C377:I377,UI!B$2)=0,"/nope/",ROW(A377)-1)</f>
        <v>/nope/</v>
      </c>
      <c r="C377" s="1" t="str" cm="1">
        <f t="array" ref="C377">IF(A377="","",_xlfn.TEXTSPLIT(A377,","))</f>
        <v/>
      </c>
      <c r="G377" s="1" t="str">
        <f t="shared" si="5"/>
        <v/>
      </c>
      <c r="H377" t="e" cm="1">
        <f t="array" ref="H377">_xlfn.TEXTSPLIT(E377,"/")</f>
        <v>#VALUE!</v>
      </c>
    </row>
    <row r="378" spans="2:8" x14ac:dyDescent="0.3">
      <c r="B378" t="str">
        <f>IF(COUNTIF(C378:I378,UI!B$2)=0,"/nope/",ROW(A378)-1)</f>
        <v>/nope/</v>
      </c>
      <c r="C378" s="1" t="str" cm="1">
        <f t="array" ref="C378">IF(A378="","",_xlfn.TEXTSPLIT(A378,","))</f>
        <v/>
      </c>
      <c r="G378" s="1" t="str">
        <f t="shared" si="5"/>
        <v/>
      </c>
      <c r="H378" t="e" cm="1">
        <f t="array" ref="H378">_xlfn.TEXTSPLIT(E378,"/")</f>
        <v>#VALUE!</v>
      </c>
    </row>
    <row r="379" spans="2:8" x14ac:dyDescent="0.3">
      <c r="B379" t="str">
        <f>IF(COUNTIF(C379:I379,UI!B$2)=0,"/nope/",ROW(A379)-1)</f>
        <v>/nope/</v>
      </c>
      <c r="C379" s="1" t="str" cm="1">
        <f t="array" ref="C379">IF(A379="","",_xlfn.TEXTSPLIT(A379,","))</f>
        <v/>
      </c>
      <c r="G379" s="1" t="str">
        <f t="shared" si="5"/>
        <v/>
      </c>
      <c r="H379" t="e" cm="1">
        <f t="array" ref="H379">_xlfn.TEXTSPLIT(E379,"/")</f>
        <v>#VALUE!</v>
      </c>
    </row>
    <row r="380" spans="2:8" x14ac:dyDescent="0.3">
      <c r="B380" t="str">
        <f>IF(COUNTIF(C380:I380,UI!B$2)=0,"/nope/",ROW(A380)-1)</f>
        <v>/nope/</v>
      </c>
      <c r="C380" s="1" t="str" cm="1">
        <f t="array" ref="C380">IF(A380="","",_xlfn.TEXTSPLIT(A380,","))</f>
        <v/>
      </c>
      <c r="G380" s="1" t="str">
        <f t="shared" si="5"/>
        <v/>
      </c>
      <c r="H380" t="e" cm="1">
        <f t="array" ref="H380">_xlfn.TEXTSPLIT(E380,"/")</f>
        <v>#VALUE!</v>
      </c>
    </row>
    <row r="381" spans="2:8" x14ac:dyDescent="0.3">
      <c r="B381" t="str">
        <f>IF(COUNTIF(C381:I381,UI!B$2)=0,"/nope/",ROW(A381)-1)</f>
        <v>/nope/</v>
      </c>
      <c r="C381" s="1" t="str" cm="1">
        <f t="array" ref="C381">IF(A381="","",_xlfn.TEXTSPLIT(A381,","))</f>
        <v/>
      </c>
      <c r="G381" s="1" t="str">
        <f t="shared" si="5"/>
        <v/>
      </c>
      <c r="H381" t="e" cm="1">
        <f t="array" ref="H381">_xlfn.TEXTSPLIT(E381,"/")</f>
        <v>#VALUE!</v>
      </c>
    </row>
    <row r="382" spans="2:8" x14ac:dyDescent="0.3">
      <c r="B382" t="str">
        <f>IF(COUNTIF(C382:I382,UI!B$2)=0,"/nope/",ROW(A382)-1)</f>
        <v>/nope/</v>
      </c>
      <c r="C382" s="1" t="str" cm="1">
        <f t="array" ref="C382">IF(A382="","",_xlfn.TEXTSPLIT(A382,","))</f>
        <v/>
      </c>
      <c r="G382" s="1" t="str">
        <f t="shared" si="5"/>
        <v/>
      </c>
      <c r="H382" t="e" cm="1">
        <f t="array" ref="H382">_xlfn.TEXTSPLIT(E382,"/")</f>
        <v>#VALUE!</v>
      </c>
    </row>
    <row r="383" spans="2:8" x14ac:dyDescent="0.3">
      <c r="B383" t="str">
        <f>IF(COUNTIF(C383:I383,UI!B$2)=0,"/nope/",ROW(A383)-1)</f>
        <v>/nope/</v>
      </c>
      <c r="C383" s="1" t="str" cm="1">
        <f t="array" ref="C383">IF(A383="","",_xlfn.TEXTSPLIT(A383,","))</f>
        <v/>
      </c>
      <c r="G383" s="1" t="str">
        <f t="shared" si="5"/>
        <v/>
      </c>
      <c r="H383" t="e" cm="1">
        <f t="array" ref="H383">_xlfn.TEXTSPLIT(E383,"/")</f>
        <v>#VALUE!</v>
      </c>
    </row>
    <row r="384" spans="2:8" x14ac:dyDescent="0.3">
      <c r="B384" t="str">
        <f>IF(COUNTIF(C384:I384,UI!B$2)=0,"/nope/",ROW(A384)-1)</f>
        <v>/nope/</v>
      </c>
      <c r="C384" s="1" t="str" cm="1">
        <f t="array" ref="C384">IF(A384="","",_xlfn.TEXTSPLIT(A384,","))</f>
        <v/>
      </c>
      <c r="G384" s="1" t="str">
        <f t="shared" si="5"/>
        <v/>
      </c>
      <c r="H384" t="e" cm="1">
        <f t="array" ref="H384">_xlfn.TEXTSPLIT(E384,"/")</f>
        <v>#VALUE!</v>
      </c>
    </row>
    <row r="385" spans="2:8" x14ac:dyDescent="0.3">
      <c r="B385" t="str">
        <f>IF(COUNTIF(C385:I385,UI!B$2)=0,"/nope/",ROW(A385)-1)</f>
        <v>/nope/</v>
      </c>
      <c r="C385" s="1" t="str" cm="1">
        <f t="array" ref="C385">IF(A385="","",_xlfn.TEXTSPLIT(A385,","))</f>
        <v/>
      </c>
      <c r="G385" s="1" t="str">
        <f t="shared" si="5"/>
        <v/>
      </c>
      <c r="H385" t="e" cm="1">
        <f t="array" ref="H385">_xlfn.TEXTSPLIT(E385,"/")</f>
        <v>#VALUE!</v>
      </c>
    </row>
    <row r="386" spans="2:8" x14ac:dyDescent="0.3">
      <c r="B386" t="str">
        <f>IF(COUNTIF(C386:I386,UI!B$2)=0,"/nope/",ROW(A386)-1)</f>
        <v>/nope/</v>
      </c>
      <c r="C386" s="1" t="str" cm="1">
        <f t="array" ref="C386">IF(A386="","",_xlfn.TEXTSPLIT(A386,","))</f>
        <v/>
      </c>
      <c r="G386" s="1" t="str">
        <f t="shared" ref="G386:G449" si="6">IF(E386="","",IF(I386="",E386,""))</f>
        <v/>
      </c>
      <c r="H386" t="e" cm="1">
        <f t="array" ref="H386">_xlfn.TEXTSPLIT(E386,"/")</f>
        <v>#VALUE!</v>
      </c>
    </row>
    <row r="387" spans="2:8" x14ac:dyDescent="0.3">
      <c r="B387" t="str">
        <f>IF(COUNTIF(C387:I387,UI!B$2)=0,"/nope/",ROW(A387)-1)</f>
        <v>/nope/</v>
      </c>
      <c r="C387" s="1" t="str" cm="1">
        <f t="array" ref="C387">IF(A387="","",_xlfn.TEXTSPLIT(A387,","))</f>
        <v/>
      </c>
      <c r="G387" s="1" t="str">
        <f t="shared" si="6"/>
        <v/>
      </c>
      <c r="H387" t="e" cm="1">
        <f t="array" ref="H387">_xlfn.TEXTSPLIT(E387,"/")</f>
        <v>#VALUE!</v>
      </c>
    </row>
    <row r="388" spans="2:8" x14ac:dyDescent="0.3">
      <c r="B388" t="str">
        <f>IF(COUNTIF(C388:I388,UI!B$2)=0,"/nope/",ROW(A388)-1)</f>
        <v>/nope/</v>
      </c>
      <c r="C388" s="1" t="str" cm="1">
        <f t="array" ref="C388">IF(A388="","",_xlfn.TEXTSPLIT(A388,","))</f>
        <v/>
      </c>
      <c r="G388" s="1" t="str">
        <f t="shared" si="6"/>
        <v/>
      </c>
      <c r="H388" t="e" cm="1">
        <f t="array" ref="H388">_xlfn.TEXTSPLIT(E388,"/")</f>
        <v>#VALUE!</v>
      </c>
    </row>
    <row r="389" spans="2:8" x14ac:dyDescent="0.3">
      <c r="B389" t="str">
        <f>IF(COUNTIF(C389:I389,UI!B$2)=0,"/nope/",ROW(A389)-1)</f>
        <v>/nope/</v>
      </c>
      <c r="C389" s="1" t="str" cm="1">
        <f t="array" ref="C389">IF(A389="","",_xlfn.TEXTSPLIT(A389,","))</f>
        <v/>
      </c>
      <c r="G389" s="1" t="str">
        <f t="shared" si="6"/>
        <v/>
      </c>
      <c r="H389" t="e" cm="1">
        <f t="array" ref="H389">_xlfn.TEXTSPLIT(E389,"/")</f>
        <v>#VALUE!</v>
      </c>
    </row>
    <row r="390" spans="2:8" x14ac:dyDescent="0.3">
      <c r="B390" t="str">
        <f>IF(COUNTIF(C390:I390,UI!B$2)=0,"/nope/",ROW(A390)-1)</f>
        <v>/nope/</v>
      </c>
      <c r="C390" s="1" t="str" cm="1">
        <f t="array" ref="C390">IF(A390="","",_xlfn.TEXTSPLIT(A390,","))</f>
        <v/>
      </c>
      <c r="G390" s="1" t="str">
        <f t="shared" si="6"/>
        <v/>
      </c>
      <c r="H390" t="e" cm="1">
        <f t="array" ref="H390">_xlfn.TEXTSPLIT(E390,"/")</f>
        <v>#VALUE!</v>
      </c>
    </row>
    <row r="391" spans="2:8" x14ac:dyDescent="0.3">
      <c r="B391" t="str">
        <f>IF(COUNTIF(C391:I391,UI!B$2)=0,"/nope/",ROW(A391)-1)</f>
        <v>/nope/</v>
      </c>
      <c r="C391" s="1" t="str" cm="1">
        <f t="array" ref="C391">IF(A391="","",_xlfn.TEXTSPLIT(A391,","))</f>
        <v/>
      </c>
      <c r="G391" s="1" t="str">
        <f t="shared" si="6"/>
        <v/>
      </c>
      <c r="H391" t="e" cm="1">
        <f t="array" ref="H391">_xlfn.TEXTSPLIT(E391,"/")</f>
        <v>#VALUE!</v>
      </c>
    </row>
    <row r="392" spans="2:8" x14ac:dyDescent="0.3">
      <c r="B392" t="str">
        <f>IF(COUNTIF(C392:I392,UI!B$2)=0,"/nope/",ROW(A392)-1)</f>
        <v>/nope/</v>
      </c>
      <c r="C392" s="1" t="str" cm="1">
        <f t="array" ref="C392">IF(A392="","",_xlfn.TEXTSPLIT(A392,","))</f>
        <v/>
      </c>
      <c r="G392" s="1" t="str">
        <f t="shared" si="6"/>
        <v/>
      </c>
      <c r="H392" t="e" cm="1">
        <f t="array" ref="H392">_xlfn.TEXTSPLIT(E392,"/")</f>
        <v>#VALUE!</v>
      </c>
    </row>
    <row r="393" spans="2:8" x14ac:dyDescent="0.3">
      <c r="B393" t="str">
        <f>IF(COUNTIF(C393:I393,UI!B$2)=0,"/nope/",ROW(A393)-1)</f>
        <v>/nope/</v>
      </c>
      <c r="C393" s="1" t="str" cm="1">
        <f t="array" ref="C393">IF(A393="","",_xlfn.TEXTSPLIT(A393,","))</f>
        <v/>
      </c>
      <c r="G393" s="1" t="str">
        <f t="shared" si="6"/>
        <v/>
      </c>
      <c r="H393" t="e" cm="1">
        <f t="array" ref="H393">_xlfn.TEXTSPLIT(E393,"/")</f>
        <v>#VALUE!</v>
      </c>
    </row>
    <row r="394" spans="2:8" x14ac:dyDescent="0.3">
      <c r="B394" t="str">
        <f>IF(COUNTIF(C394:I394,UI!B$2)=0,"/nope/",ROW(A394)-1)</f>
        <v>/nope/</v>
      </c>
      <c r="C394" s="1" t="str" cm="1">
        <f t="array" ref="C394">IF(A394="","",_xlfn.TEXTSPLIT(A394,","))</f>
        <v/>
      </c>
      <c r="G394" s="1" t="str">
        <f t="shared" si="6"/>
        <v/>
      </c>
      <c r="H394" t="e" cm="1">
        <f t="array" ref="H394">_xlfn.TEXTSPLIT(E394,"/")</f>
        <v>#VALUE!</v>
      </c>
    </row>
    <row r="395" spans="2:8" x14ac:dyDescent="0.3">
      <c r="B395" t="str">
        <f>IF(COUNTIF(C395:I395,UI!B$2)=0,"/nope/",ROW(A395)-1)</f>
        <v>/nope/</v>
      </c>
      <c r="C395" s="1" t="str" cm="1">
        <f t="array" ref="C395">IF(A395="","",_xlfn.TEXTSPLIT(A395,","))</f>
        <v/>
      </c>
      <c r="G395" s="1" t="str">
        <f t="shared" si="6"/>
        <v/>
      </c>
      <c r="H395" t="e" cm="1">
        <f t="array" ref="H395">_xlfn.TEXTSPLIT(E395,"/")</f>
        <v>#VALUE!</v>
      </c>
    </row>
    <row r="396" spans="2:8" x14ac:dyDescent="0.3">
      <c r="B396" t="str">
        <f>IF(COUNTIF(C396:I396,UI!B$2)=0,"/nope/",ROW(A396)-1)</f>
        <v>/nope/</v>
      </c>
      <c r="C396" s="1" t="str" cm="1">
        <f t="array" ref="C396">IF(A396="","",_xlfn.TEXTSPLIT(A396,","))</f>
        <v/>
      </c>
      <c r="G396" s="1" t="str">
        <f t="shared" si="6"/>
        <v/>
      </c>
      <c r="H396" t="e" cm="1">
        <f t="array" ref="H396">_xlfn.TEXTSPLIT(E396,"/")</f>
        <v>#VALUE!</v>
      </c>
    </row>
    <row r="397" spans="2:8" x14ac:dyDescent="0.3">
      <c r="B397" t="str">
        <f>IF(COUNTIF(C397:I397,UI!B$2)=0,"/nope/",ROW(A397)-1)</f>
        <v>/nope/</v>
      </c>
      <c r="C397" s="1" t="str" cm="1">
        <f t="array" ref="C397">IF(A397="","",_xlfn.TEXTSPLIT(A397,","))</f>
        <v/>
      </c>
      <c r="G397" s="1" t="str">
        <f t="shared" si="6"/>
        <v/>
      </c>
      <c r="H397" t="e" cm="1">
        <f t="array" ref="H397">_xlfn.TEXTSPLIT(E397,"/")</f>
        <v>#VALUE!</v>
      </c>
    </row>
    <row r="398" spans="2:8" x14ac:dyDescent="0.3">
      <c r="B398" t="str">
        <f>IF(COUNTIF(C398:I398,UI!B$2)=0,"/nope/",ROW(A398)-1)</f>
        <v>/nope/</v>
      </c>
      <c r="C398" s="1" t="str" cm="1">
        <f t="array" ref="C398">IF(A398="","",_xlfn.TEXTSPLIT(A398,","))</f>
        <v/>
      </c>
      <c r="G398" s="1" t="str">
        <f t="shared" si="6"/>
        <v/>
      </c>
      <c r="H398" t="e" cm="1">
        <f t="array" ref="H398">_xlfn.TEXTSPLIT(E398,"/")</f>
        <v>#VALUE!</v>
      </c>
    </row>
    <row r="399" spans="2:8" x14ac:dyDescent="0.3">
      <c r="B399" t="str">
        <f>IF(COUNTIF(C399:I399,UI!B$2)=0,"/nope/",ROW(A399)-1)</f>
        <v>/nope/</v>
      </c>
      <c r="C399" s="1" t="str" cm="1">
        <f t="array" ref="C399">IF(A399="","",_xlfn.TEXTSPLIT(A399,","))</f>
        <v/>
      </c>
      <c r="G399" s="1" t="str">
        <f t="shared" si="6"/>
        <v/>
      </c>
      <c r="H399" t="e" cm="1">
        <f t="array" ref="H399">_xlfn.TEXTSPLIT(E399,"/")</f>
        <v>#VALUE!</v>
      </c>
    </row>
    <row r="400" spans="2:8" x14ac:dyDescent="0.3">
      <c r="B400" t="str">
        <f>IF(COUNTIF(C400:I400,UI!B$2)=0,"/nope/",ROW(A400)-1)</f>
        <v>/nope/</v>
      </c>
      <c r="C400" s="1" t="str" cm="1">
        <f t="array" ref="C400">IF(A400="","",_xlfn.TEXTSPLIT(A400,","))</f>
        <v/>
      </c>
      <c r="G400" s="1" t="str">
        <f t="shared" si="6"/>
        <v/>
      </c>
      <c r="H400" t="e" cm="1">
        <f t="array" ref="H400">_xlfn.TEXTSPLIT(E400,"/")</f>
        <v>#VALUE!</v>
      </c>
    </row>
    <row r="401" spans="2:8" x14ac:dyDescent="0.3">
      <c r="B401" t="str">
        <f>IF(COUNTIF(C401:I401,UI!B$2)=0,"/nope/",ROW(A401)-1)</f>
        <v>/nope/</v>
      </c>
      <c r="C401" s="1" t="str" cm="1">
        <f t="array" ref="C401">IF(A401="","",_xlfn.TEXTSPLIT(A401,","))</f>
        <v/>
      </c>
      <c r="G401" s="1" t="str">
        <f t="shared" si="6"/>
        <v/>
      </c>
      <c r="H401" t="e" cm="1">
        <f t="array" ref="H401">_xlfn.TEXTSPLIT(E401,"/")</f>
        <v>#VALUE!</v>
      </c>
    </row>
    <row r="402" spans="2:8" x14ac:dyDescent="0.3">
      <c r="B402" t="str">
        <f>IF(COUNTIF(C402:I402,UI!B$2)=0,"/nope/",ROW(A402)-1)</f>
        <v>/nope/</v>
      </c>
      <c r="C402" s="1" t="str" cm="1">
        <f t="array" ref="C402">IF(A402="","",_xlfn.TEXTSPLIT(A402,","))</f>
        <v/>
      </c>
      <c r="G402" s="1" t="str">
        <f t="shared" si="6"/>
        <v/>
      </c>
      <c r="H402" t="e" cm="1">
        <f t="array" ref="H402">_xlfn.TEXTSPLIT(E402,"/")</f>
        <v>#VALUE!</v>
      </c>
    </row>
    <row r="403" spans="2:8" x14ac:dyDescent="0.3">
      <c r="B403" t="str">
        <f>IF(COUNTIF(C403:I403,UI!B$2)=0,"/nope/",ROW(A403)-1)</f>
        <v>/nope/</v>
      </c>
      <c r="C403" s="1" t="str" cm="1">
        <f t="array" ref="C403">IF(A403="","",_xlfn.TEXTSPLIT(A403,","))</f>
        <v/>
      </c>
      <c r="G403" s="1" t="str">
        <f t="shared" si="6"/>
        <v/>
      </c>
      <c r="H403" t="e" cm="1">
        <f t="array" ref="H403">_xlfn.TEXTSPLIT(E403,"/")</f>
        <v>#VALUE!</v>
      </c>
    </row>
    <row r="404" spans="2:8" x14ac:dyDescent="0.3">
      <c r="B404" t="str">
        <f>IF(COUNTIF(C404:I404,UI!B$2)=0,"/nope/",ROW(A404)-1)</f>
        <v>/nope/</v>
      </c>
      <c r="C404" s="1" t="str" cm="1">
        <f t="array" ref="C404">IF(A404="","",_xlfn.TEXTSPLIT(A404,","))</f>
        <v/>
      </c>
      <c r="G404" s="1" t="str">
        <f t="shared" si="6"/>
        <v/>
      </c>
      <c r="H404" t="e" cm="1">
        <f t="array" ref="H404">_xlfn.TEXTSPLIT(E404,"/")</f>
        <v>#VALUE!</v>
      </c>
    </row>
    <row r="405" spans="2:8" x14ac:dyDescent="0.3">
      <c r="B405" t="str">
        <f>IF(COUNTIF(C405:I405,UI!B$2)=0,"/nope/",ROW(A405)-1)</f>
        <v>/nope/</v>
      </c>
      <c r="C405" s="1" t="str" cm="1">
        <f t="array" ref="C405">IF(A405="","",_xlfn.TEXTSPLIT(A405,","))</f>
        <v/>
      </c>
      <c r="G405" s="1" t="str">
        <f t="shared" si="6"/>
        <v/>
      </c>
      <c r="H405" t="e" cm="1">
        <f t="array" ref="H405">_xlfn.TEXTSPLIT(E405,"/")</f>
        <v>#VALUE!</v>
      </c>
    </row>
    <row r="406" spans="2:8" x14ac:dyDescent="0.3">
      <c r="B406" t="str">
        <f>IF(COUNTIF(C406:I406,UI!B$2)=0,"/nope/",ROW(A406)-1)</f>
        <v>/nope/</v>
      </c>
      <c r="C406" s="1" t="str" cm="1">
        <f t="array" ref="C406">IF(A406="","",_xlfn.TEXTSPLIT(A406,","))</f>
        <v/>
      </c>
      <c r="G406" s="1" t="str">
        <f t="shared" si="6"/>
        <v/>
      </c>
      <c r="H406" t="e" cm="1">
        <f t="array" ref="H406">_xlfn.TEXTSPLIT(E406,"/")</f>
        <v>#VALUE!</v>
      </c>
    </row>
    <row r="407" spans="2:8" x14ac:dyDescent="0.3">
      <c r="B407" t="str">
        <f>IF(COUNTIF(C407:I407,UI!B$2)=0,"/nope/",ROW(A407)-1)</f>
        <v>/nope/</v>
      </c>
      <c r="C407" s="1" t="str" cm="1">
        <f t="array" ref="C407">IF(A407="","",_xlfn.TEXTSPLIT(A407,","))</f>
        <v/>
      </c>
      <c r="G407" s="1" t="str">
        <f t="shared" si="6"/>
        <v/>
      </c>
      <c r="H407" t="e" cm="1">
        <f t="array" ref="H407">_xlfn.TEXTSPLIT(E407,"/")</f>
        <v>#VALUE!</v>
      </c>
    </row>
    <row r="408" spans="2:8" x14ac:dyDescent="0.3">
      <c r="B408" t="str">
        <f>IF(COUNTIF(C408:I408,UI!B$2)=0,"/nope/",ROW(A408)-1)</f>
        <v>/nope/</v>
      </c>
      <c r="C408" s="1" t="str" cm="1">
        <f t="array" ref="C408">IF(A408="","",_xlfn.TEXTSPLIT(A408,","))</f>
        <v/>
      </c>
      <c r="G408" s="1" t="str">
        <f t="shared" si="6"/>
        <v/>
      </c>
      <c r="H408" t="e" cm="1">
        <f t="array" ref="H408">_xlfn.TEXTSPLIT(E408,"/")</f>
        <v>#VALUE!</v>
      </c>
    </row>
    <row r="409" spans="2:8" x14ac:dyDescent="0.3">
      <c r="B409" t="str">
        <f>IF(COUNTIF(C409:I409,UI!B$2)=0,"/nope/",ROW(A409)-1)</f>
        <v>/nope/</v>
      </c>
      <c r="C409" s="1" t="str" cm="1">
        <f t="array" ref="C409">IF(A409="","",_xlfn.TEXTSPLIT(A409,","))</f>
        <v/>
      </c>
      <c r="G409" s="1" t="str">
        <f t="shared" si="6"/>
        <v/>
      </c>
      <c r="H409" t="e" cm="1">
        <f t="array" ref="H409">_xlfn.TEXTSPLIT(E409,"/")</f>
        <v>#VALUE!</v>
      </c>
    </row>
    <row r="410" spans="2:8" x14ac:dyDescent="0.3">
      <c r="B410" t="str">
        <f>IF(COUNTIF(C410:I410,UI!B$2)=0,"/nope/",ROW(A410)-1)</f>
        <v>/nope/</v>
      </c>
      <c r="C410" s="1" t="str" cm="1">
        <f t="array" ref="C410">IF(A410="","",_xlfn.TEXTSPLIT(A410,","))</f>
        <v/>
      </c>
      <c r="G410" s="1" t="str">
        <f t="shared" si="6"/>
        <v/>
      </c>
      <c r="H410" t="e" cm="1">
        <f t="array" ref="H410">_xlfn.TEXTSPLIT(E410,"/")</f>
        <v>#VALUE!</v>
      </c>
    </row>
    <row r="411" spans="2:8" x14ac:dyDescent="0.3">
      <c r="B411" t="str">
        <f>IF(COUNTIF(C411:I411,UI!B$2)=0,"/nope/",ROW(A411)-1)</f>
        <v>/nope/</v>
      </c>
      <c r="C411" s="1" t="str" cm="1">
        <f t="array" ref="C411">IF(A411="","",_xlfn.TEXTSPLIT(A411,","))</f>
        <v/>
      </c>
      <c r="G411" s="1" t="str">
        <f t="shared" si="6"/>
        <v/>
      </c>
      <c r="H411" t="e" cm="1">
        <f t="array" ref="H411">_xlfn.TEXTSPLIT(E411,"/")</f>
        <v>#VALUE!</v>
      </c>
    </row>
    <row r="412" spans="2:8" x14ac:dyDescent="0.3">
      <c r="B412" t="str">
        <f>IF(COUNTIF(C412:I412,UI!B$2)=0,"/nope/",ROW(A412)-1)</f>
        <v>/nope/</v>
      </c>
      <c r="C412" s="1" t="str" cm="1">
        <f t="array" ref="C412">IF(A412="","",_xlfn.TEXTSPLIT(A412,","))</f>
        <v/>
      </c>
      <c r="G412" s="1" t="str">
        <f t="shared" si="6"/>
        <v/>
      </c>
      <c r="H412" t="e" cm="1">
        <f t="array" ref="H412">_xlfn.TEXTSPLIT(E412,"/")</f>
        <v>#VALUE!</v>
      </c>
    </row>
    <row r="413" spans="2:8" x14ac:dyDescent="0.3">
      <c r="B413" t="str">
        <f>IF(COUNTIF(C413:I413,UI!B$2)=0,"/nope/",ROW(A413)-1)</f>
        <v>/nope/</v>
      </c>
      <c r="C413" s="1" t="str" cm="1">
        <f t="array" ref="C413">IF(A413="","",_xlfn.TEXTSPLIT(A413,","))</f>
        <v/>
      </c>
      <c r="G413" s="1" t="str">
        <f t="shared" si="6"/>
        <v/>
      </c>
      <c r="H413" t="e" cm="1">
        <f t="array" ref="H413">_xlfn.TEXTSPLIT(E413,"/")</f>
        <v>#VALUE!</v>
      </c>
    </row>
    <row r="414" spans="2:8" x14ac:dyDescent="0.3">
      <c r="B414" t="str">
        <f>IF(COUNTIF(C414:I414,UI!B$2)=0,"/nope/",ROW(A414)-1)</f>
        <v>/nope/</v>
      </c>
      <c r="C414" s="1" t="str" cm="1">
        <f t="array" ref="C414">IF(A414="","",_xlfn.TEXTSPLIT(A414,","))</f>
        <v/>
      </c>
      <c r="G414" s="1" t="str">
        <f t="shared" si="6"/>
        <v/>
      </c>
      <c r="H414" t="e" cm="1">
        <f t="array" ref="H414">_xlfn.TEXTSPLIT(E414,"/")</f>
        <v>#VALUE!</v>
      </c>
    </row>
    <row r="415" spans="2:8" x14ac:dyDescent="0.3">
      <c r="B415" t="str">
        <f>IF(COUNTIF(C415:I415,UI!B$2)=0,"/nope/",ROW(A415)-1)</f>
        <v>/nope/</v>
      </c>
      <c r="C415" s="1" t="str" cm="1">
        <f t="array" ref="C415">IF(A415="","",_xlfn.TEXTSPLIT(A415,","))</f>
        <v/>
      </c>
      <c r="G415" s="1" t="str">
        <f t="shared" si="6"/>
        <v/>
      </c>
      <c r="H415" t="e" cm="1">
        <f t="array" ref="H415">_xlfn.TEXTSPLIT(E415,"/")</f>
        <v>#VALUE!</v>
      </c>
    </row>
    <row r="416" spans="2:8" x14ac:dyDescent="0.3">
      <c r="B416" t="str">
        <f>IF(COUNTIF(C416:I416,UI!B$2)=0,"/nope/",ROW(A416)-1)</f>
        <v>/nope/</v>
      </c>
      <c r="C416" s="1" t="str" cm="1">
        <f t="array" ref="C416">IF(A416="","",_xlfn.TEXTSPLIT(A416,","))</f>
        <v/>
      </c>
      <c r="G416" s="1" t="str">
        <f t="shared" si="6"/>
        <v/>
      </c>
      <c r="H416" t="e" cm="1">
        <f t="array" ref="H416">_xlfn.TEXTSPLIT(E416,"/")</f>
        <v>#VALUE!</v>
      </c>
    </row>
    <row r="417" spans="2:8" x14ac:dyDescent="0.3">
      <c r="B417" t="str">
        <f>IF(COUNTIF(C417:I417,UI!B$2)=0,"/nope/",ROW(A417)-1)</f>
        <v>/nope/</v>
      </c>
      <c r="C417" s="1" t="str" cm="1">
        <f t="array" ref="C417">IF(A417="","",_xlfn.TEXTSPLIT(A417,","))</f>
        <v/>
      </c>
      <c r="G417" s="1" t="str">
        <f t="shared" si="6"/>
        <v/>
      </c>
      <c r="H417" t="e" cm="1">
        <f t="array" ref="H417">_xlfn.TEXTSPLIT(E417,"/")</f>
        <v>#VALUE!</v>
      </c>
    </row>
    <row r="418" spans="2:8" x14ac:dyDescent="0.3">
      <c r="B418" t="str">
        <f>IF(COUNTIF(C418:I418,UI!B$2)=0,"/nope/",ROW(A418)-1)</f>
        <v>/nope/</v>
      </c>
      <c r="C418" s="1" t="str" cm="1">
        <f t="array" ref="C418">IF(A418="","",_xlfn.TEXTSPLIT(A418,","))</f>
        <v/>
      </c>
      <c r="G418" s="1" t="str">
        <f t="shared" si="6"/>
        <v/>
      </c>
      <c r="H418" t="e" cm="1">
        <f t="array" ref="H418">_xlfn.TEXTSPLIT(E418,"/")</f>
        <v>#VALUE!</v>
      </c>
    </row>
    <row r="419" spans="2:8" x14ac:dyDescent="0.3">
      <c r="B419" t="str">
        <f>IF(COUNTIF(C419:I419,UI!B$2)=0,"/nope/",ROW(A419)-1)</f>
        <v>/nope/</v>
      </c>
      <c r="C419" s="1" t="str" cm="1">
        <f t="array" ref="C419">IF(A419="","",_xlfn.TEXTSPLIT(A419,","))</f>
        <v/>
      </c>
      <c r="G419" s="1" t="str">
        <f t="shared" si="6"/>
        <v/>
      </c>
      <c r="H419" t="e" cm="1">
        <f t="array" ref="H419">_xlfn.TEXTSPLIT(E419,"/")</f>
        <v>#VALUE!</v>
      </c>
    </row>
    <row r="420" spans="2:8" x14ac:dyDescent="0.3">
      <c r="B420" t="str">
        <f>IF(COUNTIF(C420:I420,UI!B$2)=0,"/nope/",ROW(A420)-1)</f>
        <v>/nope/</v>
      </c>
      <c r="C420" s="1" t="str" cm="1">
        <f t="array" ref="C420">IF(A420="","",_xlfn.TEXTSPLIT(A420,","))</f>
        <v/>
      </c>
      <c r="G420" s="1" t="str">
        <f t="shared" si="6"/>
        <v/>
      </c>
      <c r="H420" t="e" cm="1">
        <f t="array" ref="H420">_xlfn.TEXTSPLIT(E420,"/")</f>
        <v>#VALUE!</v>
      </c>
    </row>
    <row r="421" spans="2:8" x14ac:dyDescent="0.3">
      <c r="B421" t="str">
        <f>IF(COUNTIF(C421:I421,UI!B$2)=0,"/nope/",ROW(A421)-1)</f>
        <v>/nope/</v>
      </c>
      <c r="C421" s="1" t="str" cm="1">
        <f t="array" ref="C421">IF(A421="","",_xlfn.TEXTSPLIT(A421,","))</f>
        <v/>
      </c>
      <c r="G421" s="1" t="str">
        <f t="shared" si="6"/>
        <v/>
      </c>
      <c r="H421" t="e" cm="1">
        <f t="array" ref="H421">_xlfn.TEXTSPLIT(E421,"/")</f>
        <v>#VALUE!</v>
      </c>
    </row>
    <row r="422" spans="2:8" x14ac:dyDescent="0.3">
      <c r="B422" t="str">
        <f>IF(COUNTIF(C422:I422,UI!B$2)=0,"/nope/",ROW(A422)-1)</f>
        <v>/nope/</v>
      </c>
      <c r="C422" s="1" t="str" cm="1">
        <f t="array" ref="C422">IF(A422="","",_xlfn.TEXTSPLIT(A422,","))</f>
        <v/>
      </c>
      <c r="G422" s="1" t="str">
        <f t="shared" si="6"/>
        <v/>
      </c>
      <c r="H422" t="e" cm="1">
        <f t="array" ref="H422">_xlfn.TEXTSPLIT(E422,"/")</f>
        <v>#VALUE!</v>
      </c>
    </row>
    <row r="423" spans="2:8" x14ac:dyDescent="0.3">
      <c r="B423" t="str">
        <f>IF(COUNTIF(C423:I423,UI!B$2)=0,"/nope/",ROW(A423)-1)</f>
        <v>/nope/</v>
      </c>
      <c r="C423" s="1" t="str" cm="1">
        <f t="array" ref="C423">IF(A423="","",_xlfn.TEXTSPLIT(A423,","))</f>
        <v/>
      </c>
      <c r="G423" s="1" t="str">
        <f t="shared" si="6"/>
        <v/>
      </c>
      <c r="H423" t="e" cm="1">
        <f t="array" ref="H423">_xlfn.TEXTSPLIT(E423,"/")</f>
        <v>#VALUE!</v>
      </c>
    </row>
    <row r="424" spans="2:8" x14ac:dyDescent="0.3">
      <c r="B424" t="str">
        <f>IF(COUNTIF(C424:I424,UI!B$2)=0,"/nope/",ROW(A424)-1)</f>
        <v>/nope/</v>
      </c>
      <c r="C424" s="1" t="str" cm="1">
        <f t="array" ref="C424">IF(A424="","",_xlfn.TEXTSPLIT(A424,","))</f>
        <v/>
      </c>
      <c r="G424" s="1" t="str">
        <f t="shared" si="6"/>
        <v/>
      </c>
      <c r="H424" t="e" cm="1">
        <f t="array" ref="H424">_xlfn.TEXTSPLIT(E424,"/")</f>
        <v>#VALUE!</v>
      </c>
    </row>
    <row r="425" spans="2:8" x14ac:dyDescent="0.3">
      <c r="B425" t="str">
        <f>IF(COUNTIF(C425:I425,UI!B$2)=0,"/nope/",ROW(A425)-1)</f>
        <v>/nope/</v>
      </c>
      <c r="C425" s="1" t="str" cm="1">
        <f t="array" ref="C425">IF(A425="","",_xlfn.TEXTSPLIT(A425,","))</f>
        <v/>
      </c>
      <c r="G425" s="1" t="str">
        <f t="shared" si="6"/>
        <v/>
      </c>
      <c r="H425" t="e" cm="1">
        <f t="array" ref="H425">_xlfn.TEXTSPLIT(E425,"/")</f>
        <v>#VALUE!</v>
      </c>
    </row>
    <row r="426" spans="2:8" x14ac:dyDescent="0.3">
      <c r="B426" t="str">
        <f>IF(COUNTIF(C426:I426,UI!B$2)=0,"/nope/",ROW(A426)-1)</f>
        <v>/nope/</v>
      </c>
      <c r="C426" s="1" t="str" cm="1">
        <f t="array" ref="C426">IF(A426="","",_xlfn.TEXTSPLIT(A426,","))</f>
        <v/>
      </c>
      <c r="G426" s="1" t="str">
        <f t="shared" si="6"/>
        <v/>
      </c>
      <c r="H426" t="e" cm="1">
        <f t="array" ref="H426">_xlfn.TEXTSPLIT(E426,"/")</f>
        <v>#VALUE!</v>
      </c>
    </row>
    <row r="427" spans="2:8" x14ac:dyDescent="0.3">
      <c r="B427" t="str">
        <f>IF(COUNTIF(C427:I427,UI!B$2)=0,"/nope/",ROW(A427)-1)</f>
        <v>/nope/</v>
      </c>
      <c r="C427" s="1" t="str" cm="1">
        <f t="array" ref="C427">IF(A427="","",_xlfn.TEXTSPLIT(A427,","))</f>
        <v/>
      </c>
      <c r="G427" s="1" t="str">
        <f t="shared" si="6"/>
        <v/>
      </c>
      <c r="H427" t="e" cm="1">
        <f t="array" ref="H427">_xlfn.TEXTSPLIT(E427,"/")</f>
        <v>#VALUE!</v>
      </c>
    </row>
    <row r="428" spans="2:8" x14ac:dyDescent="0.3">
      <c r="B428" t="str">
        <f>IF(COUNTIF(C428:I428,UI!B$2)=0,"/nope/",ROW(A428)-1)</f>
        <v>/nope/</v>
      </c>
      <c r="C428" s="1" t="str" cm="1">
        <f t="array" ref="C428">IF(A428="","",_xlfn.TEXTSPLIT(A428,","))</f>
        <v/>
      </c>
      <c r="G428" s="1" t="str">
        <f t="shared" si="6"/>
        <v/>
      </c>
      <c r="H428" t="e" cm="1">
        <f t="array" ref="H428">_xlfn.TEXTSPLIT(E428,"/")</f>
        <v>#VALUE!</v>
      </c>
    </row>
    <row r="429" spans="2:8" x14ac:dyDescent="0.3">
      <c r="B429" t="str">
        <f>IF(COUNTIF(C429:I429,UI!B$2)=0,"/nope/",ROW(A429)-1)</f>
        <v>/nope/</v>
      </c>
      <c r="C429" s="1" t="str" cm="1">
        <f t="array" ref="C429">IF(A429="","",_xlfn.TEXTSPLIT(A429,","))</f>
        <v/>
      </c>
      <c r="G429" s="1" t="str">
        <f t="shared" si="6"/>
        <v/>
      </c>
      <c r="H429" t="e" cm="1">
        <f t="array" ref="H429">_xlfn.TEXTSPLIT(E429,"/")</f>
        <v>#VALUE!</v>
      </c>
    </row>
    <row r="430" spans="2:8" x14ac:dyDescent="0.3">
      <c r="B430" t="str">
        <f>IF(COUNTIF(C430:I430,UI!B$2)=0,"/nope/",ROW(A430)-1)</f>
        <v>/nope/</v>
      </c>
      <c r="C430" s="1" t="str" cm="1">
        <f t="array" ref="C430">IF(A430="","",_xlfn.TEXTSPLIT(A430,","))</f>
        <v/>
      </c>
      <c r="G430" s="1" t="str">
        <f t="shared" si="6"/>
        <v/>
      </c>
      <c r="H430" t="e" cm="1">
        <f t="array" ref="H430">_xlfn.TEXTSPLIT(E430,"/")</f>
        <v>#VALUE!</v>
      </c>
    </row>
    <row r="431" spans="2:8" x14ac:dyDescent="0.3">
      <c r="B431" t="str">
        <f>IF(COUNTIF(C431:I431,UI!B$2)=0,"/nope/",ROW(A431)-1)</f>
        <v>/nope/</v>
      </c>
      <c r="C431" s="1" t="str" cm="1">
        <f t="array" ref="C431">IF(A431="","",_xlfn.TEXTSPLIT(A431,","))</f>
        <v/>
      </c>
      <c r="G431" s="1" t="str">
        <f t="shared" si="6"/>
        <v/>
      </c>
      <c r="H431" t="e" cm="1">
        <f t="array" ref="H431">_xlfn.TEXTSPLIT(E431,"/")</f>
        <v>#VALUE!</v>
      </c>
    </row>
    <row r="432" spans="2:8" x14ac:dyDescent="0.3">
      <c r="B432" t="str">
        <f>IF(COUNTIF(C432:I432,UI!B$2)=0,"/nope/",ROW(A432)-1)</f>
        <v>/nope/</v>
      </c>
      <c r="C432" s="1" t="str" cm="1">
        <f t="array" ref="C432">IF(A432="","",_xlfn.TEXTSPLIT(A432,","))</f>
        <v/>
      </c>
      <c r="G432" s="1" t="str">
        <f t="shared" si="6"/>
        <v/>
      </c>
      <c r="H432" t="e" cm="1">
        <f t="array" ref="H432">_xlfn.TEXTSPLIT(E432,"/")</f>
        <v>#VALUE!</v>
      </c>
    </row>
    <row r="433" spans="2:8" x14ac:dyDescent="0.3">
      <c r="B433" t="str">
        <f>IF(COUNTIF(C433:I433,UI!B$2)=0,"/nope/",ROW(A433)-1)</f>
        <v>/nope/</v>
      </c>
      <c r="C433" s="1" t="str" cm="1">
        <f t="array" ref="C433">IF(A433="","",_xlfn.TEXTSPLIT(A433,","))</f>
        <v/>
      </c>
      <c r="G433" s="1" t="str">
        <f t="shared" si="6"/>
        <v/>
      </c>
      <c r="H433" t="e" cm="1">
        <f t="array" ref="H433">_xlfn.TEXTSPLIT(E433,"/")</f>
        <v>#VALUE!</v>
      </c>
    </row>
    <row r="434" spans="2:8" x14ac:dyDescent="0.3">
      <c r="B434" t="str">
        <f>IF(COUNTIF(C434:I434,UI!B$2)=0,"/nope/",ROW(A434)-1)</f>
        <v>/nope/</v>
      </c>
      <c r="C434" s="1" t="str" cm="1">
        <f t="array" ref="C434">IF(A434="","",_xlfn.TEXTSPLIT(A434,","))</f>
        <v/>
      </c>
      <c r="G434" s="1" t="str">
        <f t="shared" si="6"/>
        <v/>
      </c>
      <c r="H434" t="e" cm="1">
        <f t="array" ref="H434">_xlfn.TEXTSPLIT(E434,"/")</f>
        <v>#VALUE!</v>
      </c>
    </row>
    <row r="435" spans="2:8" x14ac:dyDescent="0.3">
      <c r="B435" t="str">
        <f>IF(COUNTIF(C435:I435,UI!B$2)=0,"/nope/",ROW(A435)-1)</f>
        <v>/nope/</v>
      </c>
      <c r="C435" s="1" t="str" cm="1">
        <f t="array" ref="C435">IF(A435="","",_xlfn.TEXTSPLIT(A435,","))</f>
        <v/>
      </c>
      <c r="G435" s="1" t="str">
        <f t="shared" si="6"/>
        <v/>
      </c>
      <c r="H435" t="e" cm="1">
        <f t="array" ref="H435">_xlfn.TEXTSPLIT(E435,"/")</f>
        <v>#VALUE!</v>
      </c>
    </row>
    <row r="436" spans="2:8" x14ac:dyDescent="0.3">
      <c r="B436" t="str">
        <f>IF(COUNTIF(C436:I436,UI!B$2)=0,"/nope/",ROW(A436)-1)</f>
        <v>/nope/</v>
      </c>
      <c r="C436" s="1" t="str" cm="1">
        <f t="array" ref="C436">IF(A436="","",_xlfn.TEXTSPLIT(A436,","))</f>
        <v/>
      </c>
      <c r="G436" s="1" t="str">
        <f t="shared" si="6"/>
        <v/>
      </c>
      <c r="H436" t="e" cm="1">
        <f t="array" ref="H436">_xlfn.TEXTSPLIT(E436,"/")</f>
        <v>#VALUE!</v>
      </c>
    </row>
    <row r="437" spans="2:8" x14ac:dyDescent="0.3">
      <c r="B437" t="str">
        <f>IF(COUNTIF(C437:I437,UI!B$2)=0,"/nope/",ROW(A437)-1)</f>
        <v>/nope/</v>
      </c>
      <c r="C437" s="1" t="str" cm="1">
        <f t="array" ref="C437">IF(A437="","",_xlfn.TEXTSPLIT(A437,","))</f>
        <v/>
      </c>
      <c r="G437" s="1" t="str">
        <f t="shared" si="6"/>
        <v/>
      </c>
      <c r="H437" t="e" cm="1">
        <f t="array" ref="H437">_xlfn.TEXTSPLIT(E437,"/")</f>
        <v>#VALUE!</v>
      </c>
    </row>
    <row r="438" spans="2:8" x14ac:dyDescent="0.3">
      <c r="B438" t="str">
        <f>IF(COUNTIF(C438:I438,UI!B$2)=0,"/nope/",ROW(A438)-1)</f>
        <v>/nope/</v>
      </c>
      <c r="C438" s="1" t="str" cm="1">
        <f t="array" ref="C438">IF(A438="","",_xlfn.TEXTSPLIT(A438,","))</f>
        <v/>
      </c>
      <c r="G438" s="1" t="str">
        <f t="shared" si="6"/>
        <v/>
      </c>
      <c r="H438" t="e" cm="1">
        <f t="array" ref="H438">_xlfn.TEXTSPLIT(E438,"/")</f>
        <v>#VALUE!</v>
      </c>
    </row>
    <row r="439" spans="2:8" x14ac:dyDescent="0.3">
      <c r="B439" t="str">
        <f>IF(COUNTIF(C439:I439,UI!B$2)=0,"/nope/",ROW(A439)-1)</f>
        <v>/nope/</v>
      </c>
      <c r="C439" s="1" t="str" cm="1">
        <f t="array" ref="C439">IF(A439="","",_xlfn.TEXTSPLIT(A439,","))</f>
        <v/>
      </c>
      <c r="G439" s="1" t="str">
        <f t="shared" si="6"/>
        <v/>
      </c>
      <c r="H439" t="e" cm="1">
        <f t="array" ref="H439">_xlfn.TEXTSPLIT(E439,"/")</f>
        <v>#VALUE!</v>
      </c>
    </row>
    <row r="440" spans="2:8" x14ac:dyDescent="0.3">
      <c r="B440" t="str">
        <f>IF(COUNTIF(C440:I440,UI!B$2)=0,"/nope/",ROW(A440)-1)</f>
        <v>/nope/</v>
      </c>
      <c r="C440" s="1" t="str" cm="1">
        <f t="array" ref="C440">IF(A440="","",_xlfn.TEXTSPLIT(A440,","))</f>
        <v/>
      </c>
      <c r="G440" s="1" t="str">
        <f t="shared" si="6"/>
        <v/>
      </c>
      <c r="H440" t="e" cm="1">
        <f t="array" ref="H440">_xlfn.TEXTSPLIT(E440,"/")</f>
        <v>#VALUE!</v>
      </c>
    </row>
    <row r="441" spans="2:8" x14ac:dyDescent="0.3">
      <c r="B441" t="str">
        <f>IF(COUNTIF(C441:I441,UI!B$2)=0,"/nope/",ROW(A441)-1)</f>
        <v>/nope/</v>
      </c>
      <c r="C441" s="1" t="str" cm="1">
        <f t="array" ref="C441">IF(A441="","",_xlfn.TEXTSPLIT(A441,","))</f>
        <v/>
      </c>
      <c r="G441" s="1" t="str">
        <f t="shared" si="6"/>
        <v/>
      </c>
      <c r="H441" t="e" cm="1">
        <f t="array" ref="H441">_xlfn.TEXTSPLIT(E441,"/")</f>
        <v>#VALUE!</v>
      </c>
    </row>
    <row r="442" spans="2:8" x14ac:dyDescent="0.3">
      <c r="B442" t="str">
        <f>IF(COUNTIF(C442:I442,UI!B$2)=0,"/nope/",ROW(A442)-1)</f>
        <v>/nope/</v>
      </c>
      <c r="C442" s="1" t="str" cm="1">
        <f t="array" ref="C442">IF(A442="","",_xlfn.TEXTSPLIT(A442,","))</f>
        <v/>
      </c>
      <c r="G442" s="1" t="str">
        <f t="shared" si="6"/>
        <v/>
      </c>
      <c r="H442" t="e" cm="1">
        <f t="array" ref="H442">_xlfn.TEXTSPLIT(E442,"/")</f>
        <v>#VALUE!</v>
      </c>
    </row>
    <row r="443" spans="2:8" x14ac:dyDescent="0.3">
      <c r="B443" t="str">
        <f>IF(COUNTIF(C443:I443,UI!B$2)=0,"/nope/",ROW(A443)-1)</f>
        <v>/nope/</v>
      </c>
      <c r="C443" s="1" t="str" cm="1">
        <f t="array" ref="C443">IF(A443="","",_xlfn.TEXTSPLIT(A443,","))</f>
        <v/>
      </c>
      <c r="G443" s="1" t="str">
        <f t="shared" si="6"/>
        <v/>
      </c>
      <c r="H443" t="e" cm="1">
        <f t="array" ref="H443">_xlfn.TEXTSPLIT(E443,"/")</f>
        <v>#VALUE!</v>
      </c>
    </row>
    <row r="444" spans="2:8" x14ac:dyDescent="0.3">
      <c r="B444" t="str">
        <f>IF(COUNTIF(C444:I444,UI!B$2)=0,"/nope/",ROW(A444)-1)</f>
        <v>/nope/</v>
      </c>
      <c r="C444" s="1" t="str" cm="1">
        <f t="array" ref="C444">IF(A444="","",_xlfn.TEXTSPLIT(A444,","))</f>
        <v/>
      </c>
      <c r="G444" s="1" t="str">
        <f t="shared" si="6"/>
        <v/>
      </c>
      <c r="H444" t="e" cm="1">
        <f t="array" ref="H444">_xlfn.TEXTSPLIT(E444,"/")</f>
        <v>#VALUE!</v>
      </c>
    </row>
    <row r="445" spans="2:8" x14ac:dyDescent="0.3">
      <c r="B445" t="str">
        <f>IF(COUNTIF(C445:I445,UI!B$2)=0,"/nope/",ROW(A445)-1)</f>
        <v>/nope/</v>
      </c>
      <c r="C445" s="1" t="str" cm="1">
        <f t="array" ref="C445">IF(A445="","",_xlfn.TEXTSPLIT(A445,","))</f>
        <v/>
      </c>
      <c r="G445" s="1" t="str">
        <f t="shared" si="6"/>
        <v/>
      </c>
      <c r="H445" t="e" cm="1">
        <f t="array" ref="H445">_xlfn.TEXTSPLIT(E445,"/")</f>
        <v>#VALUE!</v>
      </c>
    </row>
    <row r="446" spans="2:8" x14ac:dyDescent="0.3">
      <c r="B446" t="str">
        <f>IF(COUNTIF(C446:I446,UI!B$2)=0,"/nope/",ROW(A446)-1)</f>
        <v>/nope/</v>
      </c>
      <c r="C446" s="1" t="str" cm="1">
        <f t="array" ref="C446">IF(A446="","",_xlfn.TEXTSPLIT(A446,","))</f>
        <v/>
      </c>
      <c r="G446" s="1" t="str">
        <f t="shared" si="6"/>
        <v/>
      </c>
      <c r="H446" t="e" cm="1">
        <f t="array" ref="H446">_xlfn.TEXTSPLIT(E446,"/")</f>
        <v>#VALUE!</v>
      </c>
    </row>
    <row r="447" spans="2:8" x14ac:dyDescent="0.3">
      <c r="B447" t="str">
        <f>IF(COUNTIF(C447:I447,UI!B$2)=0,"/nope/",ROW(A447)-1)</f>
        <v>/nope/</v>
      </c>
      <c r="C447" s="1" t="str" cm="1">
        <f t="array" ref="C447">IF(A447="","",_xlfn.TEXTSPLIT(A447,","))</f>
        <v/>
      </c>
      <c r="G447" s="1" t="str">
        <f t="shared" si="6"/>
        <v/>
      </c>
      <c r="H447" t="e" cm="1">
        <f t="array" ref="H447">_xlfn.TEXTSPLIT(E447,"/")</f>
        <v>#VALUE!</v>
      </c>
    </row>
    <row r="448" spans="2:8" x14ac:dyDescent="0.3">
      <c r="B448" t="str">
        <f>IF(COUNTIF(C448:I448,UI!B$2)=0,"/nope/",ROW(A448)-1)</f>
        <v>/nope/</v>
      </c>
      <c r="C448" s="1" t="str" cm="1">
        <f t="array" ref="C448">IF(A448="","",_xlfn.TEXTSPLIT(A448,","))</f>
        <v/>
      </c>
      <c r="G448" s="1" t="str">
        <f t="shared" si="6"/>
        <v/>
      </c>
      <c r="H448" t="e" cm="1">
        <f t="array" ref="H448">_xlfn.TEXTSPLIT(E448,"/")</f>
        <v>#VALUE!</v>
      </c>
    </row>
    <row r="449" spans="2:8" x14ac:dyDescent="0.3">
      <c r="B449" t="str">
        <f>IF(COUNTIF(C449:I449,UI!B$2)=0,"/nope/",ROW(A449)-1)</f>
        <v>/nope/</v>
      </c>
      <c r="C449" s="1" t="str" cm="1">
        <f t="array" ref="C449">IF(A449="","",_xlfn.TEXTSPLIT(A449,","))</f>
        <v/>
      </c>
      <c r="G449" s="1" t="str">
        <f t="shared" si="6"/>
        <v/>
      </c>
      <c r="H449" t="e" cm="1">
        <f t="array" ref="H449">_xlfn.TEXTSPLIT(E449,"/")</f>
        <v>#VALUE!</v>
      </c>
    </row>
    <row r="450" spans="2:8" x14ac:dyDescent="0.3">
      <c r="B450" t="str">
        <f>IF(COUNTIF(C450:I450,UI!B$2)=0,"/nope/",ROW(A450)-1)</f>
        <v>/nope/</v>
      </c>
      <c r="C450" s="1" t="str" cm="1">
        <f t="array" ref="C450">IF(A450="","",_xlfn.TEXTSPLIT(A450,","))</f>
        <v/>
      </c>
      <c r="G450" s="1" t="str">
        <f t="shared" ref="G450:G513" si="7">IF(E450="","",IF(I450="",E450,""))</f>
        <v/>
      </c>
      <c r="H450" t="e" cm="1">
        <f t="array" ref="H450">_xlfn.TEXTSPLIT(E450,"/")</f>
        <v>#VALUE!</v>
      </c>
    </row>
    <row r="451" spans="2:8" x14ac:dyDescent="0.3">
      <c r="B451" t="str">
        <f>IF(COUNTIF(C451:I451,UI!B$2)=0,"/nope/",ROW(A451)-1)</f>
        <v>/nope/</v>
      </c>
      <c r="C451" s="1" t="str" cm="1">
        <f t="array" ref="C451">IF(A451="","",_xlfn.TEXTSPLIT(A451,","))</f>
        <v/>
      </c>
      <c r="G451" s="1" t="str">
        <f t="shared" si="7"/>
        <v/>
      </c>
      <c r="H451" t="e" cm="1">
        <f t="array" ref="H451">_xlfn.TEXTSPLIT(E451,"/")</f>
        <v>#VALUE!</v>
      </c>
    </row>
    <row r="452" spans="2:8" x14ac:dyDescent="0.3">
      <c r="B452" t="str">
        <f>IF(COUNTIF(C452:I452,UI!B$2)=0,"/nope/",ROW(A452)-1)</f>
        <v>/nope/</v>
      </c>
      <c r="C452" s="1" t="str" cm="1">
        <f t="array" ref="C452">IF(A452="","",_xlfn.TEXTSPLIT(A452,","))</f>
        <v/>
      </c>
      <c r="G452" s="1" t="str">
        <f t="shared" si="7"/>
        <v/>
      </c>
      <c r="H452" t="e" cm="1">
        <f t="array" ref="H452">_xlfn.TEXTSPLIT(E452,"/")</f>
        <v>#VALUE!</v>
      </c>
    </row>
    <row r="453" spans="2:8" x14ac:dyDescent="0.3">
      <c r="B453" t="str">
        <f>IF(COUNTIF(C453:I453,UI!B$2)=0,"/nope/",ROW(A453)-1)</f>
        <v>/nope/</v>
      </c>
      <c r="C453" s="1" t="str" cm="1">
        <f t="array" ref="C453">IF(A453="","",_xlfn.TEXTSPLIT(A453,","))</f>
        <v/>
      </c>
      <c r="G453" s="1" t="str">
        <f t="shared" si="7"/>
        <v/>
      </c>
      <c r="H453" t="e" cm="1">
        <f t="array" ref="H453">_xlfn.TEXTSPLIT(E453,"/")</f>
        <v>#VALUE!</v>
      </c>
    </row>
    <row r="454" spans="2:8" x14ac:dyDescent="0.3">
      <c r="B454" t="str">
        <f>IF(COUNTIF(C454:I454,UI!B$2)=0,"/nope/",ROW(A454)-1)</f>
        <v>/nope/</v>
      </c>
      <c r="C454" s="1" t="str" cm="1">
        <f t="array" ref="C454">IF(A454="","",_xlfn.TEXTSPLIT(A454,","))</f>
        <v/>
      </c>
      <c r="G454" s="1" t="str">
        <f t="shared" si="7"/>
        <v/>
      </c>
      <c r="H454" t="e" cm="1">
        <f t="array" ref="H454">_xlfn.TEXTSPLIT(E454,"/")</f>
        <v>#VALUE!</v>
      </c>
    </row>
    <row r="455" spans="2:8" x14ac:dyDescent="0.3">
      <c r="B455" t="str">
        <f>IF(COUNTIF(C455:I455,UI!B$2)=0,"/nope/",ROW(A455)-1)</f>
        <v>/nope/</v>
      </c>
      <c r="C455" s="1" t="str" cm="1">
        <f t="array" ref="C455">IF(A455="","",_xlfn.TEXTSPLIT(A455,","))</f>
        <v/>
      </c>
      <c r="G455" s="1" t="str">
        <f t="shared" si="7"/>
        <v/>
      </c>
      <c r="H455" t="e" cm="1">
        <f t="array" ref="H455">_xlfn.TEXTSPLIT(E455,"/")</f>
        <v>#VALUE!</v>
      </c>
    </row>
    <row r="456" spans="2:8" x14ac:dyDescent="0.3">
      <c r="B456" t="str">
        <f>IF(COUNTIF(C456:I456,UI!B$2)=0,"/nope/",ROW(A456)-1)</f>
        <v>/nope/</v>
      </c>
      <c r="C456" s="1" t="str" cm="1">
        <f t="array" ref="C456">IF(A456="","",_xlfn.TEXTSPLIT(A456,","))</f>
        <v/>
      </c>
      <c r="G456" s="1" t="str">
        <f t="shared" si="7"/>
        <v/>
      </c>
      <c r="H456" t="e" cm="1">
        <f t="array" ref="H456">_xlfn.TEXTSPLIT(E456,"/")</f>
        <v>#VALUE!</v>
      </c>
    </row>
    <row r="457" spans="2:8" x14ac:dyDescent="0.3">
      <c r="B457" t="str">
        <f>IF(COUNTIF(C457:I457,UI!B$2)=0,"/nope/",ROW(A457)-1)</f>
        <v>/nope/</v>
      </c>
      <c r="C457" s="1" t="str" cm="1">
        <f t="array" ref="C457">IF(A457="","",_xlfn.TEXTSPLIT(A457,","))</f>
        <v/>
      </c>
      <c r="G457" s="1" t="str">
        <f t="shared" si="7"/>
        <v/>
      </c>
      <c r="H457" t="e" cm="1">
        <f t="array" ref="H457">_xlfn.TEXTSPLIT(E457,"/")</f>
        <v>#VALUE!</v>
      </c>
    </row>
    <row r="458" spans="2:8" x14ac:dyDescent="0.3">
      <c r="B458" t="str">
        <f>IF(COUNTIF(C458:I458,UI!B$2)=0,"/nope/",ROW(A458)-1)</f>
        <v>/nope/</v>
      </c>
      <c r="C458" s="1" t="str" cm="1">
        <f t="array" ref="C458">IF(A458="","",_xlfn.TEXTSPLIT(A458,","))</f>
        <v/>
      </c>
      <c r="G458" s="1" t="str">
        <f t="shared" si="7"/>
        <v/>
      </c>
      <c r="H458" t="e" cm="1">
        <f t="array" ref="H458">_xlfn.TEXTSPLIT(E458,"/")</f>
        <v>#VALUE!</v>
      </c>
    </row>
    <row r="459" spans="2:8" x14ac:dyDescent="0.3">
      <c r="B459" t="str">
        <f>IF(COUNTIF(C459:I459,UI!B$2)=0,"/nope/",ROW(A459)-1)</f>
        <v>/nope/</v>
      </c>
      <c r="C459" s="1" t="str" cm="1">
        <f t="array" ref="C459">IF(A459="","",_xlfn.TEXTSPLIT(A459,","))</f>
        <v/>
      </c>
      <c r="G459" s="1" t="str">
        <f t="shared" si="7"/>
        <v/>
      </c>
      <c r="H459" t="e" cm="1">
        <f t="array" ref="H459">_xlfn.TEXTSPLIT(E459,"/")</f>
        <v>#VALUE!</v>
      </c>
    </row>
    <row r="460" spans="2:8" x14ac:dyDescent="0.3">
      <c r="B460" t="str">
        <f>IF(COUNTIF(C460:I460,UI!B$2)=0,"/nope/",ROW(A460)-1)</f>
        <v>/nope/</v>
      </c>
      <c r="C460" s="1" t="str" cm="1">
        <f t="array" ref="C460">IF(A460="","",_xlfn.TEXTSPLIT(A460,","))</f>
        <v/>
      </c>
      <c r="G460" s="1" t="str">
        <f t="shared" si="7"/>
        <v/>
      </c>
      <c r="H460" t="e" cm="1">
        <f t="array" ref="H460">_xlfn.TEXTSPLIT(E460,"/")</f>
        <v>#VALUE!</v>
      </c>
    </row>
    <row r="461" spans="2:8" x14ac:dyDescent="0.3">
      <c r="B461" t="str">
        <f>IF(COUNTIF(C461:I461,UI!B$2)=0,"/nope/",ROW(A461)-1)</f>
        <v>/nope/</v>
      </c>
      <c r="C461" s="1" t="str" cm="1">
        <f t="array" ref="C461">IF(A461="","",_xlfn.TEXTSPLIT(A461,","))</f>
        <v/>
      </c>
      <c r="G461" s="1" t="str">
        <f t="shared" si="7"/>
        <v/>
      </c>
      <c r="H461" t="e" cm="1">
        <f t="array" ref="H461">_xlfn.TEXTSPLIT(E461,"/")</f>
        <v>#VALUE!</v>
      </c>
    </row>
    <row r="462" spans="2:8" x14ac:dyDescent="0.3">
      <c r="B462" t="str">
        <f>IF(COUNTIF(C462:I462,UI!B$2)=0,"/nope/",ROW(A462)-1)</f>
        <v>/nope/</v>
      </c>
      <c r="C462" s="1" t="str" cm="1">
        <f t="array" ref="C462">IF(A462="","",_xlfn.TEXTSPLIT(A462,","))</f>
        <v/>
      </c>
      <c r="G462" s="1" t="str">
        <f t="shared" si="7"/>
        <v/>
      </c>
      <c r="H462" t="e" cm="1">
        <f t="array" ref="H462">_xlfn.TEXTSPLIT(E462,"/")</f>
        <v>#VALUE!</v>
      </c>
    </row>
    <row r="463" spans="2:8" x14ac:dyDescent="0.3">
      <c r="B463" t="str">
        <f>IF(COUNTIF(C463:I463,UI!B$2)=0,"/nope/",ROW(A463)-1)</f>
        <v>/nope/</v>
      </c>
      <c r="C463" s="1" t="str" cm="1">
        <f t="array" ref="C463">IF(A463="","",_xlfn.TEXTSPLIT(A463,","))</f>
        <v/>
      </c>
      <c r="G463" s="1" t="str">
        <f t="shared" si="7"/>
        <v/>
      </c>
      <c r="H463" t="e" cm="1">
        <f t="array" ref="H463">_xlfn.TEXTSPLIT(E463,"/")</f>
        <v>#VALUE!</v>
      </c>
    </row>
    <row r="464" spans="2:8" x14ac:dyDescent="0.3">
      <c r="B464" t="str">
        <f>IF(COUNTIF(C464:I464,UI!B$2)=0,"/nope/",ROW(A464)-1)</f>
        <v>/nope/</v>
      </c>
      <c r="C464" s="1" t="str" cm="1">
        <f t="array" ref="C464">IF(A464="","",_xlfn.TEXTSPLIT(A464,","))</f>
        <v/>
      </c>
      <c r="G464" s="1" t="str">
        <f t="shared" si="7"/>
        <v/>
      </c>
      <c r="H464" t="e" cm="1">
        <f t="array" ref="H464">_xlfn.TEXTSPLIT(E464,"/")</f>
        <v>#VALUE!</v>
      </c>
    </row>
    <row r="465" spans="2:8" x14ac:dyDescent="0.3">
      <c r="B465" t="str">
        <f>IF(COUNTIF(C465:I465,UI!B$2)=0,"/nope/",ROW(A465)-1)</f>
        <v>/nope/</v>
      </c>
      <c r="C465" s="1" t="str" cm="1">
        <f t="array" ref="C465">IF(A465="","",_xlfn.TEXTSPLIT(A465,","))</f>
        <v/>
      </c>
      <c r="G465" s="1" t="str">
        <f t="shared" si="7"/>
        <v/>
      </c>
      <c r="H465" t="e" cm="1">
        <f t="array" ref="H465">_xlfn.TEXTSPLIT(E465,"/")</f>
        <v>#VALUE!</v>
      </c>
    </row>
    <row r="466" spans="2:8" x14ac:dyDescent="0.3">
      <c r="B466" t="str">
        <f>IF(COUNTIF(C466:I466,UI!B$2)=0,"/nope/",ROW(A466)-1)</f>
        <v>/nope/</v>
      </c>
      <c r="C466" s="1" t="str" cm="1">
        <f t="array" ref="C466">IF(A466="","",_xlfn.TEXTSPLIT(A466,","))</f>
        <v/>
      </c>
      <c r="G466" s="1" t="str">
        <f t="shared" si="7"/>
        <v/>
      </c>
      <c r="H466" t="e" cm="1">
        <f t="array" ref="H466">_xlfn.TEXTSPLIT(E466,"/")</f>
        <v>#VALUE!</v>
      </c>
    </row>
    <row r="467" spans="2:8" x14ac:dyDescent="0.3">
      <c r="B467" t="str">
        <f>IF(COUNTIF(C467:I467,UI!B$2)=0,"/nope/",ROW(A467)-1)</f>
        <v>/nope/</v>
      </c>
      <c r="C467" s="1" t="str" cm="1">
        <f t="array" ref="C467">IF(A467="","",_xlfn.TEXTSPLIT(A467,","))</f>
        <v/>
      </c>
      <c r="G467" s="1" t="str">
        <f t="shared" si="7"/>
        <v/>
      </c>
      <c r="H467" t="e" cm="1">
        <f t="array" ref="H467">_xlfn.TEXTSPLIT(E467,"/")</f>
        <v>#VALUE!</v>
      </c>
    </row>
    <row r="468" spans="2:8" x14ac:dyDescent="0.3">
      <c r="B468" t="str">
        <f>IF(COUNTIF(C468:I468,UI!B$2)=0,"/nope/",ROW(A468)-1)</f>
        <v>/nope/</v>
      </c>
      <c r="C468" s="1" t="str" cm="1">
        <f t="array" ref="C468">IF(A468="","",_xlfn.TEXTSPLIT(A468,","))</f>
        <v/>
      </c>
      <c r="G468" s="1" t="str">
        <f t="shared" si="7"/>
        <v/>
      </c>
      <c r="H468" t="e" cm="1">
        <f t="array" ref="H468">_xlfn.TEXTSPLIT(E468,"/")</f>
        <v>#VALUE!</v>
      </c>
    </row>
    <row r="469" spans="2:8" x14ac:dyDescent="0.3">
      <c r="B469" t="str">
        <f>IF(COUNTIF(C469:I469,UI!B$2)=0,"/nope/",ROW(A469)-1)</f>
        <v>/nope/</v>
      </c>
      <c r="C469" s="1" t="str" cm="1">
        <f t="array" ref="C469">IF(A469="","",_xlfn.TEXTSPLIT(A469,","))</f>
        <v/>
      </c>
      <c r="G469" s="1" t="str">
        <f t="shared" si="7"/>
        <v/>
      </c>
      <c r="H469" t="e" cm="1">
        <f t="array" ref="H469">_xlfn.TEXTSPLIT(E469,"/")</f>
        <v>#VALUE!</v>
      </c>
    </row>
    <row r="470" spans="2:8" x14ac:dyDescent="0.3">
      <c r="B470" t="str">
        <f>IF(COUNTIF(C470:I470,UI!B$2)=0,"/nope/",ROW(A470)-1)</f>
        <v>/nope/</v>
      </c>
      <c r="C470" s="1" t="str" cm="1">
        <f t="array" ref="C470">IF(A470="","",_xlfn.TEXTSPLIT(A470,","))</f>
        <v/>
      </c>
      <c r="G470" s="1" t="str">
        <f t="shared" si="7"/>
        <v/>
      </c>
      <c r="H470" t="e" cm="1">
        <f t="array" ref="H470">_xlfn.TEXTSPLIT(E470,"/")</f>
        <v>#VALUE!</v>
      </c>
    </row>
    <row r="471" spans="2:8" x14ac:dyDescent="0.3">
      <c r="B471" t="str">
        <f>IF(COUNTIF(C471:I471,UI!B$2)=0,"/nope/",ROW(A471)-1)</f>
        <v>/nope/</v>
      </c>
      <c r="C471" s="1" t="str" cm="1">
        <f t="array" ref="C471">IF(A471="","",_xlfn.TEXTSPLIT(A471,","))</f>
        <v/>
      </c>
      <c r="G471" s="1" t="str">
        <f t="shared" si="7"/>
        <v/>
      </c>
      <c r="H471" t="e" cm="1">
        <f t="array" ref="H471">_xlfn.TEXTSPLIT(E471,"/")</f>
        <v>#VALUE!</v>
      </c>
    </row>
    <row r="472" spans="2:8" x14ac:dyDescent="0.3">
      <c r="B472" t="str">
        <f>IF(COUNTIF(C472:I472,UI!B$2)=0,"/nope/",ROW(A472)-1)</f>
        <v>/nope/</v>
      </c>
      <c r="C472" s="1" t="str" cm="1">
        <f t="array" ref="C472">IF(A472="","",_xlfn.TEXTSPLIT(A472,","))</f>
        <v/>
      </c>
      <c r="G472" s="1" t="str">
        <f t="shared" si="7"/>
        <v/>
      </c>
      <c r="H472" t="e" cm="1">
        <f t="array" ref="H472">_xlfn.TEXTSPLIT(E472,"/")</f>
        <v>#VALUE!</v>
      </c>
    </row>
    <row r="473" spans="2:8" x14ac:dyDescent="0.3">
      <c r="B473" t="str">
        <f>IF(COUNTIF(C473:I473,UI!B$2)=0,"/nope/",ROW(A473)-1)</f>
        <v>/nope/</v>
      </c>
      <c r="C473" s="1" t="str" cm="1">
        <f t="array" ref="C473">IF(A473="","",_xlfn.TEXTSPLIT(A473,","))</f>
        <v/>
      </c>
      <c r="G473" s="1" t="str">
        <f t="shared" si="7"/>
        <v/>
      </c>
      <c r="H473" t="e" cm="1">
        <f t="array" ref="H473">_xlfn.TEXTSPLIT(E473,"/")</f>
        <v>#VALUE!</v>
      </c>
    </row>
    <row r="474" spans="2:8" x14ac:dyDescent="0.3">
      <c r="B474" t="str">
        <f>IF(COUNTIF(C474:I474,UI!B$2)=0,"/nope/",ROW(A474)-1)</f>
        <v>/nope/</v>
      </c>
      <c r="C474" s="1" t="str" cm="1">
        <f t="array" ref="C474">IF(A474="","",_xlfn.TEXTSPLIT(A474,","))</f>
        <v/>
      </c>
      <c r="G474" s="1" t="str">
        <f t="shared" si="7"/>
        <v/>
      </c>
      <c r="H474" t="e" cm="1">
        <f t="array" ref="H474">_xlfn.TEXTSPLIT(E474,"/")</f>
        <v>#VALUE!</v>
      </c>
    </row>
    <row r="475" spans="2:8" x14ac:dyDescent="0.3">
      <c r="B475" t="str">
        <f>IF(COUNTIF(C475:I475,UI!B$2)=0,"/nope/",ROW(A475)-1)</f>
        <v>/nope/</v>
      </c>
      <c r="C475" s="1" t="str" cm="1">
        <f t="array" ref="C475">IF(A475="","",_xlfn.TEXTSPLIT(A475,","))</f>
        <v/>
      </c>
      <c r="G475" s="1" t="str">
        <f t="shared" si="7"/>
        <v/>
      </c>
      <c r="H475" t="e" cm="1">
        <f t="array" ref="H475">_xlfn.TEXTSPLIT(E475,"/")</f>
        <v>#VALUE!</v>
      </c>
    </row>
    <row r="476" spans="2:8" x14ac:dyDescent="0.3">
      <c r="B476" t="str">
        <f>IF(COUNTIF(C476:I476,UI!B$2)=0,"/nope/",ROW(A476)-1)</f>
        <v>/nope/</v>
      </c>
      <c r="C476" s="1" t="str" cm="1">
        <f t="array" ref="C476">IF(A476="","",_xlfn.TEXTSPLIT(A476,","))</f>
        <v/>
      </c>
      <c r="G476" s="1" t="str">
        <f t="shared" si="7"/>
        <v/>
      </c>
      <c r="H476" t="e" cm="1">
        <f t="array" ref="H476">_xlfn.TEXTSPLIT(E476,"/")</f>
        <v>#VALUE!</v>
      </c>
    </row>
    <row r="477" spans="2:8" x14ac:dyDescent="0.3">
      <c r="B477" t="str">
        <f>IF(COUNTIF(C477:I477,UI!B$2)=0,"/nope/",ROW(A477)-1)</f>
        <v>/nope/</v>
      </c>
      <c r="C477" s="1" t="str" cm="1">
        <f t="array" ref="C477">IF(A477="","",_xlfn.TEXTSPLIT(A477,","))</f>
        <v/>
      </c>
      <c r="G477" s="1" t="str">
        <f t="shared" si="7"/>
        <v/>
      </c>
      <c r="H477" t="e" cm="1">
        <f t="array" ref="H477">_xlfn.TEXTSPLIT(E477,"/")</f>
        <v>#VALUE!</v>
      </c>
    </row>
    <row r="478" spans="2:8" x14ac:dyDescent="0.3">
      <c r="B478" t="str">
        <f>IF(COUNTIF(C478:I478,UI!B$2)=0,"/nope/",ROW(A478)-1)</f>
        <v>/nope/</v>
      </c>
      <c r="C478" s="1" t="str" cm="1">
        <f t="array" ref="C478">IF(A478="","",_xlfn.TEXTSPLIT(A478,","))</f>
        <v/>
      </c>
      <c r="G478" s="1" t="str">
        <f t="shared" si="7"/>
        <v/>
      </c>
      <c r="H478" t="e" cm="1">
        <f t="array" ref="H478">_xlfn.TEXTSPLIT(E478,"/")</f>
        <v>#VALUE!</v>
      </c>
    </row>
    <row r="479" spans="2:8" x14ac:dyDescent="0.3">
      <c r="B479" t="str">
        <f>IF(COUNTIF(C479:I479,UI!B$2)=0,"/nope/",ROW(A479)-1)</f>
        <v>/nope/</v>
      </c>
      <c r="C479" s="1" t="str" cm="1">
        <f t="array" ref="C479">IF(A479="","",_xlfn.TEXTSPLIT(A479,","))</f>
        <v/>
      </c>
      <c r="G479" s="1" t="str">
        <f t="shared" si="7"/>
        <v/>
      </c>
      <c r="H479" t="e" cm="1">
        <f t="array" ref="H479">_xlfn.TEXTSPLIT(E479,"/")</f>
        <v>#VALUE!</v>
      </c>
    </row>
    <row r="480" spans="2:8" x14ac:dyDescent="0.3">
      <c r="B480" t="str">
        <f>IF(COUNTIF(C480:I480,UI!B$2)=0,"/nope/",ROW(A480)-1)</f>
        <v>/nope/</v>
      </c>
      <c r="C480" s="1" t="str" cm="1">
        <f t="array" ref="C480">IF(A480="","",_xlfn.TEXTSPLIT(A480,","))</f>
        <v/>
      </c>
      <c r="G480" s="1" t="str">
        <f t="shared" si="7"/>
        <v/>
      </c>
      <c r="H480" t="e" cm="1">
        <f t="array" ref="H480">_xlfn.TEXTSPLIT(E480,"/")</f>
        <v>#VALUE!</v>
      </c>
    </row>
    <row r="481" spans="2:8" x14ac:dyDescent="0.3">
      <c r="B481" t="str">
        <f>IF(COUNTIF(C481:I481,UI!B$2)=0,"/nope/",ROW(A481)-1)</f>
        <v>/nope/</v>
      </c>
      <c r="C481" s="1" t="str" cm="1">
        <f t="array" ref="C481">IF(A481="","",_xlfn.TEXTSPLIT(A481,","))</f>
        <v/>
      </c>
      <c r="G481" s="1" t="str">
        <f t="shared" si="7"/>
        <v/>
      </c>
      <c r="H481" t="e" cm="1">
        <f t="array" ref="H481">_xlfn.TEXTSPLIT(E481,"/")</f>
        <v>#VALUE!</v>
      </c>
    </row>
    <row r="482" spans="2:8" x14ac:dyDescent="0.3">
      <c r="B482" t="str">
        <f>IF(COUNTIF(C482:I482,UI!B$2)=0,"/nope/",ROW(A482)-1)</f>
        <v>/nope/</v>
      </c>
      <c r="C482" s="1" t="str" cm="1">
        <f t="array" ref="C482">IF(A482="","",_xlfn.TEXTSPLIT(A482,","))</f>
        <v/>
      </c>
      <c r="G482" s="1" t="str">
        <f t="shared" si="7"/>
        <v/>
      </c>
      <c r="H482" t="e" cm="1">
        <f t="array" ref="H482">_xlfn.TEXTSPLIT(E482,"/")</f>
        <v>#VALUE!</v>
      </c>
    </row>
    <row r="483" spans="2:8" x14ac:dyDescent="0.3">
      <c r="B483" t="str">
        <f>IF(COUNTIF(C483:I483,UI!B$2)=0,"/nope/",ROW(A483)-1)</f>
        <v>/nope/</v>
      </c>
      <c r="C483" s="1" t="str" cm="1">
        <f t="array" ref="C483">IF(A483="","",_xlfn.TEXTSPLIT(A483,","))</f>
        <v/>
      </c>
      <c r="G483" s="1" t="str">
        <f t="shared" si="7"/>
        <v/>
      </c>
      <c r="H483" t="e" cm="1">
        <f t="array" ref="H483">_xlfn.TEXTSPLIT(E483,"/")</f>
        <v>#VALUE!</v>
      </c>
    </row>
    <row r="484" spans="2:8" x14ac:dyDescent="0.3">
      <c r="B484" t="str">
        <f>IF(COUNTIF(C484:I484,UI!B$2)=0,"/nope/",ROW(A484)-1)</f>
        <v>/nope/</v>
      </c>
      <c r="C484" s="1" t="str" cm="1">
        <f t="array" ref="C484">IF(A484="","",_xlfn.TEXTSPLIT(A484,","))</f>
        <v/>
      </c>
      <c r="G484" s="1" t="str">
        <f t="shared" si="7"/>
        <v/>
      </c>
      <c r="H484" t="e" cm="1">
        <f t="array" ref="H484">_xlfn.TEXTSPLIT(E484,"/")</f>
        <v>#VALUE!</v>
      </c>
    </row>
    <row r="485" spans="2:8" x14ac:dyDescent="0.3">
      <c r="B485" t="str">
        <f>IF(COUNTIF(C485:I485,UI!B$2)=0,"/nope/",ROW(A485)-1)</f>
        <v>/nope/</v>
      </c>
      <c r="C485" s="1" t="str" cm="1">
        <f t="array" ref="C485">IF(A485="","",_xlfn.TEXTSPLIT(A485,","))</f>
        <v/>
      </c>
      <c r="G485" s="1" t="str">
        <f t="shared" si="7"/>
        <v/>
      </c>
      <c r="H485" t="e" cm="1">
        <f t="array" ref="H485">_xlfn.TEXTSPLIT(E485,"/")</f>
        <v>#VALUE!</v>
      </c>
    </row>
    <row r="486" spans="2:8" x14ac:dyDescent="0.3">
      <c r="B486" t="str">
        <f>IF(COUNTIF(C486:I486,UI!B$2)=0,"/nope/",ROW(A486)-1)</f>
        <v>/nope/</v>
      </c>
      <c r="C486" s="1" t="str" cm="1">
        <f t="array" ref="C486">IF(A486="","",_xlfn.TEXTSPLIT(A486,","))</f>
        <v/>
      </c>
      <c r="G486" s="1" t="str">
        <f t="shared" si="7"/>
        <v/>
      </c>
      <c r="H486" t="e" cm="1">
        <f t="array" ref="H486">_xlfn.TEXTSPLIT(E486,"/")</f>
        <v>#VALUE!</v>
      </c>
    </row>
    <row r="487" spans="2:8" x14ac:dyDescent="0.3">
      <c r="B487" t="str">
        <f>IF(COUNTIF(C487:I487,UI!B$2)=0,"/nope/",ROW(A487)-1)</f>
        <v>/nope/</v>
      </c>
      <c r="C487" s="1" t="str" cm="1">
        <f t="array" ref="C487">IF(A487="","",_xlfn.TEXTSPLIT(A487,","))</f>
        <v/>
      </c>
      <c r="G487" s="1" t="str">
        <f t="shared" si="7"/>
        <v/>
      </c>
      <c r="H487" t="e" cm="1">
        <f t="array" ref="H487">_xlfn.TEXTSPLIT(E487,"/")</f>
        <v>#VALUE!</v>
      </c>
    </row>
    <row r="488" spans="2:8" x14ac:dyDescent="0.3">
      <c r="B488" t="str">
        <f>IF(COUNTIF(C488:I488,UI!B$2)=0,"/nope/",ROW(A488)-1)</f>
        <v>/nope/</v>
      </c>
      <c r="C488" s="1" t="str" cm="1">
        <f t="array" ref="C488">IF(A488="","",_xlfn.TEXTSPLIT(A488,","))</f>
        <v/>
      </c>
      <c r="G488" s="1" t="str">
        <f t="shared" si="7"/>
        <v/>
      </c>
      <c r="H488" t="e" cm="1">
        <f t="array" ref="H488">_xlfn.TEXTSPLIT(E488,"/")</f>
        <v>#VALUE!</v>
      </c>
    </row>
    <row r="489" spans="2:8" x14ac:dyDescent="0.3">
      <c r="B489" t="str">
        <f>IF(COUNTIF(C489:I489,UI!B$2)=0,"/nope/",ROW(A489)-1)</f>
        <v>/nope/</v>
      </c>
      <c r="C489" s="1" t="str" cm="1">
        <f t="array" ref="C489">IF(A489="","",_xlfn.TEXTSPLIT(A489,","))</f>
        <v/>
      </c>
      <c r="G489" s="1" t="str">
        <f t="shared" si="7"/>
        <v/>
      </c>
      <c r="H489" t="e" cm="1">
        <f t="array" ref="H489">_xlfn.TEXTSPLIT(E489,"/")</f>
        <v>#VALUE!</v>
      </c>
    </row>
    <row r="490" spans="2:8" x14ac:dyDescent="0.3">
      <c r="B490" t="str">
        <f>IF(COUNTIF(C490:I490,UI!B$2)=0,"/nope/",ROW(A490)-1)</f>
        <v>/nope/</v>
      </c>
      <c r="C490" s="1" t="str" cm="1">
        <f t="array" ref="C490">IF(A490="","",_xlfn.TEXTSPLIT(A490,","))</f>
        <v/>
      </c>
      <c r="G490" s="1" t="str">
        <f t="shared" si="7"/>
        <v/>
      </c>
      <c r="H490" t="e" cm="1">
        <f t="array" ref="H490">_xlfn.TEXTSPLIT(E490,"/")</f>
        <v>#VALUE!</v>
      </c>
    </row>
    <row r="491" spans="2:8" x14ac:dyDescent="0.3">
      <c r="B491" t="str">
        <f>IF(COUNTIF(C491:I491,UI!B$2)=0,"/nope/",ROW(A491)-1)</f>
        <v>/nope/</v>
      </c>
      <c r="C491" s="1" t="str" cm="1">
        <f t="array" ref="C491">IF(A491="","",_xlfn.TEXTSPLIT(A491,","))</f>
        <v/>
      </c>
      <c r="G491" s="1" t="str">
        <f t="shared" si="7"/>
        <v/>
      </c>
      <c r="H491" t="e" cm="1">
        <f t="array" ref="H491">_xlfn.TEXTSPLIT(E491,"/")</f>
        <v>#VALUE!</v>
      </c>
    </row>
    <row r="492" spans="2:8" x14ac:dyDescent="0.3">
      <c r="B492" t="str">
        <f>IF(COUNTIF(C492:I492,UI!B$2)=0,"/nope/",ROW(A492)-1)</f>
        <v>/nope/</v>
      </c>
      <c r="C492" s="1" t="str" cm="1">
        <f t="array" ref="C492">IF(A492="","",_xlfn.TEXTSPLIT(A492,","))</f>
        <v/>
      </c>
      <c r="G492" s="1" t="str">
        <f t="shared" si="7"/>
        <v/>
      </c>
      <c r="H492" t="e" cm="1">
        <f t="array" ref="H492">_xlfn.TEXTSPLIT(E492,"/")</f>
        <v>#VALUE!</v>
      </c>
    </row>
    <row r="493" spans="2:8" x14ac:dyDescent="0.3">
      <c r="B493" t="str">
        <f>IF(COUNTIF(C493:I493,UI!B$2)=0,"/nope/",ROW(A493)-1)</f>
        <v>/nope/</v>
      </c>
      <c r="C493" s="1" t="str" cm="1">
        <f t="array" ref="C493">IF(A493="","",_xlfn.TEXTSPLIT(A493,","))</f>
        <v/>
      </c>
      <c r="G493" s="1" t="str">
        <f t="shared" si="7"/>
        <v/>
      </c>
      <c r="H493" t="e" cm="1">
        <f t="array" ref="H493">_xlfn.TEXTSPLIT(E493,"/")</f>
        <v>#VALUE!</v>
      </c>
    </row>
    <row r="494" spans="2:8" x14ac:dyDescent="0.3">
      <c r="B494" t="str">
        <f>IF(COUNTIF(C494:I494,UI!B$2)=0,"/nope/",ROW(A494)-1)</f>
        <v>/nope/</v>
      </c>
      <c r="C494" s="1" t="str" cm="1">
        <f t="array" ref="C494">IF(A494="","",_xlfn.TEXTSPLIT(A494,","))</f>
        <v/>
      </c>
      <c r="G494" s="1" t="str">
        <f t="shared" si="7"/>
        <v/>
      </c>
      <c r="H494" t="e" cm="1">
        <f t="array" ref="H494">_xlfn.TEXTSPLIT(E494,"/")</f>
        <v>#VALUE!</v>
      </c>
    </row>
    <row r="495" spans="2:8" x14ac:dyDescent="0.3">
      <c r="B495" t="str">
        <f>IF(COUNTIF(C495:I495,UI!B$2)=0,"/nope/",ROW(A495)-1)</f>
        <v>/nope/</v>
      </c>
      <c r="C495" s="1" t="str" cm="1">
        <f t="array" ref="C495">IF(A495="","",_xlfn.TEXTSPLIT(A495,","))</f>
        <v/>
      </c>
      <c r="G495" s="1" t="str">
        <f t="shared" si="7"/>
        <v/>
      </c>
      <c r="H495" t="e" cm="1">
        <f t="array" ref="H495">_xlfn.TEXTSPLIT(E495,"/")</f>
        <v>#VALUE!</v>
      </c>
    </row>
    <row r="496" spans="2:8" x14ac:dyDescent="0.3">
      <c r="B496" t="str">
        <f>IF(COUNTIF(C496:I496,UI!B$2)=0,"/nope/",ROW(A496)-1)</f>
        <v>/nope/</v>
      </c>
      <c r="C496" s="1" t="str" cm="1">
        <f t="array" ref="C496">IF(A496="","",_xlfn.TEXTSPLIT(A496,","))</f>
        <v/>
      </c>
      <c r="G496" s="1" t="str">
        <f t="shared" si="7"/>
        <v/>
      </c>
      <c r="H496" t="e" cm="1">
        <f t="array" ref="H496">_xlfn.TEXTSPLIT(E496,"/")</f>
        <v>#VALUE!</v>
      </c>
    </row>
    <row r="497" spans="2:8" x14ac:dyDescent="0.3">
      <c r="B497" t="str">
        <f>IF(COUNTIF(C497:I497,UI!B$2)=0,"/nope/",ROW(A497)-1)</f>
        <v>/nope/</v>
      </c>
      <c r="C497" s="1" t="str" cm="1">
        <f t="array" ref="C497">IF(A497="","",_xlfn.TEXTSPLIT(A497,","))</f>
        <v/>
      </c>
      <c r="G497" s="1" t="str">
        <f t="shared" si="7"/>
        <v/>
      </c>
      <c r="H497" t="e" cm="1">
        <f t="array" ref="H497">_xlfn.TEXTSPLIT(E497,"/")</f>
        <v>#VALUE!</v>
      </c>
    </row>
    <row r="498" spans="2:8" x14ac:dyDescent="0.3">
      <c r="B498" t="str">
        <f>IF(COUNTIF(C498:I498,UI!B$2)=0,"/nope/",ROW(A498)-1)</f>
        <v>/nope/</v>
      </c>
      <c r="C498" s="1" t="str" cm="1">
        <f t="array" ref="C498">IF(A498="","",_xlfn.TEXTSPLIT(A498,","))</f>
        <v/>
      </c>
      <c r="G498" s="1" t="str">
        <f t="shared" si="7"/>
        <v/>
      </c>
      <c r="H498" t="e" cm="1">
        <f t="array" ref="H498">_xlfn.TEXTSPLIT(E498,"/")</f>
        <v>#VALUE!</v>
      </c>
    </row>
    <row r="499" spans="2:8" x14ac:dyDescent="0.3">
      <c r="B499" t="str">
        <f>IF(COUNTIF(C499:I499,UI!B$2)=0,"/nope/",ROW(A499)-1)</f>
        <v>/nope/</v>
      </c>
      <c r="C499" s="1" t="str" cm="1">
        <f t="array" ref="C499">IF(A499="","",_xlfn.TEXTSPLIT(A499,","))</f>
        <v/>
      </c>
      <c r="G499" s="1" t="str">
        <f t="shared" si="7"/>
        <v/>
      </c>
      <c r="H499" t="e" cm="1">
        <f t="array" ref="H499">_xlfn.TEXTSPLIT(E499,"/")</f>
        <v>#VALUE!</v>
      </c>
    </row>
    <row r="500" spans="2:8" x14ac:dyDescent="0.3">
      <c r="B500" t="str">
        <f>IF(COUNTIF(C500:I500,UI!B$2)=0,"/nope/",ROW(A500)-1)</f>
        <v>/nope/</v>
      </c>
      <c r="C500" s="1" t="str" cm="1">
        <f t="array" ref="C500">IF(A500="","",_xlfn.TEXTSPLIT(A500,","))</f>
        <v/>
      </c>
      <c r="G500" s="1" t="str">
        <f t="shared" si="7"/>
        <v/>
      </c>
      <c r="H500" t="e" cm="1">
        <f t="array" ref="H500">_xlfn.TEXTSPLIT(E500,"/")</f>
        <v>#VALUE!</v>
      </c>
    </row>
    <row r="501" spans="2:8" x14ac:dyDescent="0.3">
      <c r="B501" t="str">
        <f>IF(COUNTIF(C501:I501,UI!B$2)=0,"/nope/",ROW(A501)-1)</f>
        <v>/nope/</v>
      </c>
      <c r="C501" s="1" t="str" cm="1">
        <f t="array" ref="C501">IF(A501="","",_xlfn.TEXTSPLIT(A501,","))</f>
        <v/>
      </c>
      <c r="G501" s="1" t="str">
        <f t="shared" si="7"/>
        <v/>
      </c>
      <c r="H501" t="e" cm="1">
        <f t="array" ref="H501">_xlfn.TEXTSPLIT(E501,"/")</f>
        <v>#VALUE!</v>
      </c>
    </row>
    <row r="502" spans="2:8" x14ac:dyDescent="0.3">
      <c r="B502" t="str">
        <f>IF(COUNTIF(C502:I502,UI!B$2)=0,"/nope/",ROW(A502)-1)</f>
        <v>/nope/</v>
      </c>
      <c r="C502" s="1" t="str" cm="1">
        <f t="array" ref="C502">IF(A502="","",_xlfn.TEXTSPLIT(A502,","))</f>
        <v/>
      </c>
      <c r="G502" s="1" t="str">
        <f t="shared" si="7"/>
        <v/>
      </c>
      <c r="H502" t="e" cm="1">
        <f t="array" ref="H502">_xlfn.TEXTSPLIT(E502,"/")</f>
        <v>#VALUE!</v>
      </c>
    </row>
    <row r="503" spans="2:8" x14ac:dyDescent="0.3">
      <c r="B503" t="str">
        <f>IF(COUNTIF(C503:I503,UI!B$2)=0,"/nope/",ROW(A503)-1)</f>
        <v>/nope/</v>
      </c>
      <c r="C503" s="1" t="str" cm="1">
        <f t="array" ref="C503">IF(A503="","",_xlfn.TEXTSPLIT(A503,","))</f>
        <v/>
      </c>
      <c r="G503" s="1" t="str">
        <f t="shared" si="7"/>
        <v/>
      </c>
      <c r="H503" t="e" cm="1">
        <f t="array" ref="H503">_xlfn.TEXTSPLIT(E503,"/")</f>
        <v>#VALUE!</v>
      </c>
    </row>
    <row r="504" spans="2:8" x14ac:dyDescent="0.3">
      <c r="B504" t="str">
        <f>IF(COUNTIF(C504:I504,UI!B$2)=0,"/nope/",ROW(A504)-1)</f>
        <v>/nope/</v>
      </c>
      <c r="C504" s="1" t="str" cm="1">
        <f t="array" ref="C504">IF(A504="","",_xlfn.TEXTSPLIT(A504,","))</f>
        <v/>
      </c>
      <c r="G504" s="1" t="str">
        <f t="shared" si="7"/>
        <v/>
      </c>
      <c r="H504" t="e" cm="1">
        <f t="array" ref="H504">_xlfn.TEXTSPLIT(E504,"/")</f>
        <v>#VALUE!</v>
      </c>
    </row>
    <row r="505" spans="2:8" x14ac:dyDescent="0.3">
      <c r="B505" t="str">
        <f>IF(COUNTIF(C505:I505,UI!B$2)=0,"/nope/",ROW(A505)-1)</f>
        <v>/nope/</v>
      </c>
      <c r="C505" s="1" t="str" cm="1">
        <f t="array" ref="C505">IF(A505="","",_xlfn.TEXTSPLIT(A505,","))</f>
        <v/>
      </c>
      <c r="G505" s="1" t="str">
        <f t="shared" si="7"/>
        <v/>
      </c>
      <c r="H505" t="e" cm="1">
        <f t="array" ref="H505">_xlfn.TEXTSPLIT(E505,"/")</f>
        <v>#VALUE!</v>
      </c>
    </row>
    <row r="506" spans="2:8" x14ac:dyDescent="0.3">
      <c r="B506" t="str">
        <f>IF(COUNTIF(C506:I506,UI!B$2)=0,"/nope/",ROW(A506)-1)</f>
        <v>/nope/</v>
      </c>
      <c r="C506" s="1" t="str" cm="1">
        <f t="array" ref="C506">IF(A506="","",_xlfn.TEXTSPLIT(A506,","))</f>
        <v/>
      </c>
      <c r="G506" s="1" t="str">
        <f t="shared" si="7"/>
        <v/>
      </c>
      <c r="H506" t="e" cm="1">
        <f t="array" ref="H506">_xlfn.TEXTSPLIT(E506,"/")</f>
        <v>#VALUE!</v>
      </c>
    </row>
    <row r="507" spans="2:8" x14ac:dyDescent="0.3">
      <c r="B507" t="str">
        <f>IF(COUNTIF(C507:I507,UI!B$2)=0,"/nope/",ROW(A507)-1)</f>
        <v>/nope/</v>
      </c>
      <c r="C507" s="1" t="str" cm="1">
        <f t="array" ref="C507">IF(A507="","",_xlfn.TEXTSPLIT(A507,","))</f>
        <v/>
      </c>
      <c r="G507" s="1" t="str">
        <f t="shared" si="7"/>
        <v/>
      </c>
      <c r="H507" t="e" cm="1">
        <f t="array" ref="H507">_xlfn.TEXTSPLIT(E507,"/")</f>
        <v>#VALUE!</v>
      </c>
    </row>
    <row r="508" spans="2:8" x14ac:dyDescent="0.3">
      <c r="B508" t="str">
        <f>IF(COUNTIF(C508:I508,UI!B$2)=0,"/nope/",ROW(A508)-1)</f>
        <v>/nope/</v>
      </c>
      <c r="C508" s="1" t="str" cm="1">
        <f t="array" ref="C508">IF(A508="","",_xlfn.TEXTSPLIT(A508,","))</f>
        <v/>
      </c>
      <c r="G508" s="1" t="str">
        <f t="shared" si="7"/>
        <v/>
      </c>
      <c r="H508" t="e" cm="1">
        <f t="array" ref="H508">_xlfn.TEXTSPLIT(E508,"/")</f>
        <v>#VALUE!</v>
      </c>
    </row>
    <row r="509" spans="2:8" x14ac:dyDescent="0.3">
      <c r="B509" t="str">
        <f>IF(COUNTIF(C509:I509,UI!B$2)=0,"/nope/",ROW(A509)-1)</f>
        <v>/nope/</v>
      </c>
      <c r="C509" s="1" t="str" cm="1">
        <f t="array" ref="C509">IF(A509="","",_xlfn.TEXTSPLIT(A509,","))</f>
        <v/>
      </c>
      <c r="G509" s="1" t="str">
        <f t="shared" si="7"/>
        <v/>
      </c>
      <c r="H509" t="e" cm="1">
        <f t="array" ref="H509">_xlfn.TEXTSPLIT(E509,"/")</f>
        <v>#VALUE!</v>
      </c>
    </row>
    <row r="510" spans="2:8" x14ac:dyDescent="0.3">
      <c r="B510" t="str">
        <f>IF(COUNTIF(C510:I510,UI!B$2)=0,"/nope/",ROW(A510)-1)</f>
        <v>/nope/</v>
      </c>
      <c r="C510" s="1" t="str" cm="1">
        <f t="array" ref="C510">IF(A510="","",_xlfn.TEXTSPLIT(A510,","))</f>
        <v/>
      </c>
      <c r="G510" s="1" t="str">
        <f t="shared" si="7"/>
        <v/>
      </c>
      <c r="H510" t="e" cm="1">
        <f t="array" ref="H510">_xlfn.TEXTSPLIT(E510,"/")</f>
        <v>#VALUE!</v>
      </c>
    </row>
    <row r="511" spans="2:8" x14ac:dyDescent="0.3">
      <c r="B511" t="str">
        <f>IF(COUNTIF(C511:I511,UI!B$2)=0,"/nope/",ROW(A511)-1)</f>
        <v>/nope/</v>
      </c>
      <c r="C511" s="1" t="str" cm="1">
        <f t="array" ref="C511">IF(A511="","",_xlfn.TEXTSPLIT(A511,","))</f>
        <v/>
      </c>
      <c r="G511" s="1" t="str">
        <f t="shared" si="7"/>
        <v/>
      </c>
      <c r="H511" t="e" cm="1">
        <f t="array" ref="H511">_xlfn.TEXTSPLIT(E511,"/")</f>
        <v>#VALUE!</v>
      </c>
    </row>
    <row r="512" spans="2:8" x14ac:dyDescent="0.3">
      <c r="B512" t="str">
        <f>IF(COUNTIF(C512:I512,UI!B$2)=0,"/nope/",ROW(A512)-1)</f>
        <v>/nope/</v>
      </c>
      <c r="C512" s="1" t="str" cm="1">
        <f t="array" ref="C512">IF(A512="","",_xlfn.TEXTSPLIT(A512,","))</f>
        <v/>
      </c>
      <c r="G512" s="1" t="str">
        <f t="shared" si="7"/>
        <v/>
      </c>
      <c r="H512" t="e" cm="1">
        <f t="array" ref="H512">_xlfn.TEXTSPLIT(E512,"/")</f>
        <v>#VALUE!</v>
      </c>
    </row>
    <row r="513" spans="2:8" x14ac:dyDescent="0.3">
      <c r="B513" t="str">
        <f>IF(COUNTIF(C513:I513,UI!B$2)=0,"/nope/",ROW(A513)-1)</f>
        <v>/nope/</v>
      </c>
      <c r="C513" s="1" t="str" cm="1">
        <f t="array" ref="C513">IF(A513="","",_xlfn.TEXTSPLIT(A513,","))</f>
        <v/>
      </c>
      <c r="G513" s="1" t="str">
        <f t="shared" si="7"/>
        <v/>
      </c>
      <c r="H513" t="e" cm="1">
        <f t="array" ref="H513">_xlfn.TEXTSPLIT(E513,"/")</f>
        <v>#VALUE!</v>
      </c>
    </row>
    <row r="514" spans="2:8" x14ac:dyDescent="0.3">
      <c r="B514" t="str">
        <f>IF(COUNTIF(C514:I514,UI!B$2)=0,"/nope/",ROW(A514)-1)</f>
        <v>/nope/</v>
      </c>
      <c r="C514" s="1" t="str" cm="1">
        <f t="array" ref="C514">IF(A514="","",_xlfn.TEXTSPLIT(A514,","))</f>
        <v/>
      </c>
      <c r="G514" s="1" t="str">
        <f t="shared" ref="G514:G577" si="8">IF(E514="","",IF(I514="",E514,""))</f>
        <v/>
      </c>
      <c r="H514" t="e" cm="1">
        <f t="array" ref="H514">_xlfn.TEXTSPLIT(E514,"/")</f>
        <v>#VALUE!</v>
      </c>
    </row>
    <row r="515" spans="2:8" x14ac:dyDescent="0.3">
      <c r="B515" t="str">
        <f>IF(COUNTIF(C515:I515,UI!B$2)=0,"/nope/",ROW(A515)-1)</f>
        <v>/nope/</v>
      </c>
      <c r="C515" s="1" t="str" cm="1">
        <f t="array" ref="C515">IF(A515="","",_xlfn.TEXTSPLIT(A515,","))</f>
        <v/>
      </c>
      <c r="G515" s="1" t="str">
        <f t="shared" si="8"/>
        <v/>
      </c>
      <c r="H515" t="e" cm="1">
        <f t="array" ref="H515">_xlfn.TEXTSPLIT(E515,"/")</f>
        <v>#VALUE!</v>
      </c>
    </row>
    <row r="516" spans="2:8" x14ac:dyDescent="0.3">
      <c r="B516" t="str">
        <f>IF(COUNTIF(C516:I516,UI!B$2)=0,"/nope/",ROW(A516)-1)</f>
        <v>/nope/</v>
      </c>
      <c r="C516" s="1" t="str" cm="1">
        <f t="array" ref="C516">IF(A516="","",_xlfn.TEXTSPLIT(A516,","))</f>
        <v/>
      </c>
      <c r="G516" s="1" t="str">
        <f t="shared" si="8"/>
        <v/>
      </c>
      <c r="H516" t="e" cm="1">
        <f t="array" ref="H516">_xlfn.TEXTSPLIT(E516,"/")</f>
        <v>#VALUE!</v>
      </c>
    </row>
    <row r="517" spans="2:8" x14ac:dyDescent="0.3">
      <c r="B517" t="str">
        <f>IF(COUNTIF(C517:I517,UI!B$2)=0,"/nope/",ROW(A517)-1)</f>
        <v>/nope/</v>
      </c>
      <c r="C517" s="1" t="str" cm="1">
        <f t="array" ref="C517">IF(A517="","",_xlfn.TEXTSPLIT(A517,","))</f>
        <v/>
      </c>
      <c r="G517" s="1" t="str">
        <f t="shared" si="8"/>
        <v/>
      </c>
      <c r="H517" t="e" cm="1">
        <f t="array" ref="H517">_xlfn.TEXTSPLIT(E517,"/")</f>
        <v>#VALUE!</v>
      </c>
    </row>
    <row r="518" spans="2:8" x14ac:dyDescent="0.3">
      <c r="B518" t="str">
        <f>IF(COUNTIF(C518:I518,UI!B$2)=0,"/nope/",ROW(A518)-1)</f>
        <v>/nope/</v>
      </c>
      <c r="C518" s="1" t="str" cm="1">
        <f t="array" ref="C518">IF(A518="","",_xlfn.TEXTSPLIT(A518,","))</f>
        <v/>
      </c>
      <c r="G518" s="1" t="str">
        <f t="shared" si="8"/>
        <v/>
      </c>
      <c r="H518" t="e" cm="1">
        <f t="array" ref="H518">_xlfn.TEXTSPLIT(E518,"/")</f>
        <v>#VALUE!</v>
      </c>
    </row>
    <row r="519" spans="2:8" x14ac:dyDescent="0.3">
      <c r="B519" t="str">
        <f>IF(COUNTIF(C519:I519,UI!B$2)=0,"/nope/",ROW(A519)-1)</f>
        <v>/nope/</v>
      </c>
      <c r="C519" s="1" t="str" cm="1">
        <f t="array" ref="C519">IF(A519="","",_xlfn.TEXTSPLIT(A519,","))</f>
        <v/>
      </c>
      <c r="G519" s="1" t="str">
        <f t="shared" si="8"/>
        <v/>
      </c>
      <c r="H519" t="e" cm="1">
        <f t="array" ref="H519">_xlfn.TEXTSPLIT(E519,"/")</f>
        <v>#VALUE!</v>
      </c>
    </row>
    <row r="520" spans="2:8" x14ac:dyDescent="0.3">
      <c r="B520" t="str">
        <f>IF(COUNTIF(C520:I520,UI!B$2)=0,"/nope/",ROW(A520)-1)</f>
        <v>/nope/</v>
      </c>
      <c r="C520" s="1" t="str" cm="1">
        <f t="array" ref="C520">IF(A520="","",_xlfn.TEXTSPLIT(A520,","))</f>
        <v/>
      </c>
      <c r="G520" s="1" t="str">
        <f t="shared" si="8"/>
        <v/>
      </c>
      <c r="H520" t="e" cm="1">
        <f t="array" ref="H520">_xlfn.TEXTSPLIT(E520,"/")</f>
        <v>#VALUE!</v>
      </c>
    </row>
    <row r="521" spans="2:8" x14ac:dyDescent="0.3">
      <c r="B521" t="str">
        <f>IF(COUNTIF(C521:I521,UI!B$2)=0,"/nope/",ROW(A521)-1)</f>
        <v>/nope/</v>
      </c>
      <c r="C521" s="1" t="str" cm="1">
        <f t="array" ref="C521">IF(A521="","",_xlfn.TEXTSPLIT(A521,","))</f>
        <v/>
      </c>
      <c r="G521" s="1" t="str">
        <f t="shared" si="8"/>
        <v/>
      </c>
      <c r="H521" t="e" cm="1">
        <f t="array" ref="H521">_xlfn.TEXTSPLIT(E521,"/")</f>
        <v>#VALUE!</v>
      </c>
    </row>
    <row r="522" spans="2:8" x14ac:dyDescent="0.3">
      <c r="B522" t="str">
        <f>IF(COUNTIF(C522:I522,UI!B$2)=0,"/nope/",ROW(A522)-1)</f>
        <v>/nope/</v>
      </c>
      <c r="C522" s="1" t="str" cm="1">
        <f t="array" ref="C522">IF(A522="","",_xlfn.TEXTSPLIT(A522,","))</f>
        <v/>
      </c>
      <c r="G522" s="1" t="str">
        <f t="shared" si="8"/>
        <v/>
      </c>
      <c r="H522" t="e" cm="1">
        <f t="array" ref="H522">_xlfn.TEXTSPLIT(E522,"/")</f>
        <v>#VALUE!</v>
      </c>
    </row>
    <row r="523" spans="2:8" x14ac:dyDescent="0.3">
      <c r="B523" t="str">
        <f>IF(COUNTIF(C523:I523,UI!B$2)=0,"/nope/",ROW(A523)-1)</f>
        <v>/nope/</v>
      </c>
      <c r="C523" s="1" t="str" cm="1">
        <f t="array" ref="C523">IF(A523="","",_xlfn.TEXTSPLIT(A523,","))</f>
        <v/>
      </c>
      <c r="G523" s="1" t="str">
        <f t="shared" si="8"/>
        <v/>
      </c>
      <c r="H523" t="e" cm="1">
        <f t="array" ref="H523">_xlfn.TEXTSPLIT(E523,"/")</f>
        <v>#VALUE!</v>
      </c>
    </row>
    <row r="524" spans="2:8" x14ac:dyDescent="0.3">
      <c r="B524" t="str">
        <f>IF(COUNTIF(C524:I524,UI!B$2)=0,"/nope/",ROW(A524)-1)</f>
        <v>/nope/</v>
      </c>
      <c r="C524" s="1" t="str" cm="1">
        <f t="array" ref="C524">IF(A524="","",_xlfn.TEXTSPLIT(A524,","))</f>
        <v/>
      </c>
      <c r="G524" s="1" t="str">
        <f t="shared" si="8"/>
        <v/>
      </c>
      <c r="H524" t="e" cm="1">
        <f t="array" ref="H524">_xlfn.TEXTSPLIT(E524,"/")</f>
        <v>#VALUE!</v>
      </c>
    </row>
    <row r="525" spans="2:8" x14ac:dyDescent="0.3">
      <c r="B525" t="str">
        <f>IF(COUNTIF(C525:I525,UI!B$2)=0,"/nope/",ROW(A525)-1)</f>
        <v>/nope/</v>
      </c>
      <c r="C525" s="1" t="str" cm="1">
        <f t="array" ref="C525">IF(A525="","",_xlfn.TEXTSPLIT(A525,","))</f>
        <v/>
      </c>
      <c r="G525" s="1" t="str">
        <f t="shared" si="8"/>
        <v/>
      </c>
      <c r="H525" t="e" cm="1">
        <f t="array" ref="H525">_xlfn.TEXTSPLIT(E525,"/")</f>
        <v>#VALUE!</v>
      </c>
    </row>
    <row r="526" spans="2:8" x14ac:dyDescent="0.3">
      <c r="B526" t="str">
        <f>IF(COUNTIF(C526:I526,UI!B$2)=0,"/nope/",ROW(A526)-1)</f>
        <v>/nope/</v>
      </c>
      <c r="C526" s="1" t="str" cm="1">
        <f t="array" ref="C526">IF(A526="","",_xlfn.TEXTSPLIT(A526,","))</f>
        <v/>
      </c>
      <c r="G526" s="1" t="str">
        <f t="shared" si="8"/>
        <v/>
      </c>
      <c r="H526" t="e" cm="1">
        <f t="array" ref="H526">_xlfn.TEXTSPLIT(E526,"/")</f>
        <v>#VALUE!</v>
      </c>
    </row>
    <row r="527" spans="2:8" x14ac:dyDescent="0.3">
      <c r="B527" t="str">
        <f>IF(COUNTIF(C527:I527,UI!B$2)=0,"/nope/",ROW(A527)-1)</f>
        <v>/nope/</v>
      </c>
      <c r="C527" s="1" t="str" cm="1">
        <f t="array" ref="C527">IF(A527="","",_xlfn.TEXTSPLIT(A527,","))</f>
        <v/>
      </c>
      <c r="G527" s="1" t="str">
        <f t="shared" si="8"/>
        <v/>
      </c>
      <c r="H527" t="e" cm="1">
        <f t="array" ref="H527">_xlfn.TEXTSPLIT(E527,"/")</f>
        <v>#VALUE!</v>
      </c>
    </row>
    <row r="528" spans="2:8" x14ac:dyDescent="0.3">
      <c r="B528" t="str">
        <f>IF(COUNTIF(C528:I528,UI!B$2)=0,"/nope/",ROW(A528)-1)</f>
        <v>/nope/</v>
      </c>
      <c r="C528" s="1" t="str" cm="1">
        <f t="array" ref="C528">IF(A528="","",_xlfn.TEXTSPLIT(A528,","))</f>
        <v/>
      </c>
      <c r="G528" s="1" t="str">
        <f t="shared" si="8"/>
        <v/>
      </c>
      <c r="H528" t="e" cm="1">
        <f t="array" ref="H528">_xlfn.TEXTSPLIT(E528,"/")</f>
        <v>#VALUE!</v>
      </c>
    </row>
    <row r="529" spans="2:8" x14ac:dyDescent="0.3">
      <c r="B529" t="str">
        <f>IF(COUNTIF(C529:I529,UI!B$2)=0,"/nope/",ROW(A529)-1)</f>
        <v>/nope/</v>
      </c>
      <c r="C529" s="1" t="str" cm="1">
        <f t="array" ref="C529">IF(A529="","",_xlfn.TEXTSPLIT(A529,","))</f>
        <v/>
      </c>
      <c r="G529" s="1" t="str">
        <f t="shared" si="8"/>
        <v/>
      </c>
      <c r="H529" t="e" cm="1">
        <f t="array" ref="H529">_xlfn.TEXTSPLIT(E529,"/")</f>
        <v>#VALUE!</v>
      </c>
    </row>
    <row r="530" spans="2:8" x14ac:dyDescent="0.3">
      <c r="B530" t="str">
        <f>IF(COUNTIF(C530:I530,UI!B$2)=0,"/nope/",ROW(A530)-1)</f>
        <v>/nope/</v>
      </c>
      <c r="C530" s="1" t="str" cm="1">
        <f t="array" ref="C530">IF(A530="","",_xlfn.TEXTSPLIT(A530,","))</f>
        <v/>
      </c>
      <c r="G530" s="1" t="str">
        <f t="shared" si="8"/>
        <v/>
      </c>
      <c r="H530" t="e" cm="1">
        <f t="array" ref="H530">_xlfn.TEXTSPLIT(E530,"/")</f>
        <v>#VALUE!</v>
      </c>
    </row>
    <row r="531" spans="2:8" x14ac:dyDescent="0.3">
      <c r="B531" t="str">
        <f>IF(COUNTIF(C531:I531,UI!B$2)=0,"/nope/",ROW(A531)-1)</f>
        <v>/nope/</v>
      </c>
      <c r="C531" s="1" t="str" cm="1">
        <f t="array" ref="C531">IF(A531="","",_xlfn.TEXTSPLIT(A531,","))</f>
        <v/>
      </c>
      <c r="G531" s="1" t="str">
        <f t="shared" si="8"/>
        <v/>
      </c>
      <c r="H531" t="e" cm="1">
        <f t="array" ref="H531">_xlfn.TEXTSPLIT(E531,"/")</f>
        <v>#VALUE!</v>
      </c>
    </row>
    <row r="532" spans="2:8" x14ac:dyDescent="0.3">
      <c r="B532" t="str">
        <f>IF(COUNTIF(C532:I532,UI!B$2)=0,"/nope/",ROW(A532)-1)</f>
        <v>/nope/</v>
      </c>
      <c r="C532" s="1" t="str" cm="1">
        <f t="array" ref="C532">IF(A532="","",_xlfn.TEXTSPLIT(A532,","))</f>
        <v/>
      </c>
      <c r="G532" s="1" t="str">
        <f t="shared" si="8"/>
        <v/>
      </c>
      <c r="H532" t="e" cm="1">
        <f t="array" ref="H532">_xlfn.TEXTSPLIT(E532,"/")</f>
        <v>#VALUE!</v>
      </c>
    </row>
    <row r="533" spans="2:8" x14ac:dyDescent="0.3">
      <c r="B533" t="str">
        <f>IF(COUNTIF(C533:I533,UI!B$2)=0,"/nope/",ROW(A533)-1)</f>
        <v>/nope/</v>
      </c>
      <c r="C533" s="1" t="str" cm="1">
        <f t="array" ref="C533">IF(A533="","",_xlfn.TEXTSPLIT(A533,","))</f>
        <v/>
      </c>
      <c r="G533" s="1" t="str">
        <f t="shared" si="8"/>
        <v/>
      </c>
      <c r="H533" t="e" cm="1">
        <f t="array" ref="H533">_xlfn.TEXTSPLIT(E533,"/")</f>
        <v>#VALUE!</v>
      </c>
    </row>
    <row r="534" spans="2:8" x14ac:dyDescent="0.3">
      <c r="B534" t="str">
        <f>IF(COUNTIF(C534:I534,UI!B$2)=0,"/nope/",ROW(A534)-1)</f>
        <v>/nope/</v>
      </c>
      <c r="C534" s="1" t="str" cm="1">
        <f t="array" ref="C534">IF(A534="","",_xlfn.TEXTSPLIT(A534,","))</f>
        <v/>
      </c>
      <c r="G534" s="1" t="str">
        <f t="shared" si="8"/>
        <v/>
      </c>
      <c r="H534" t="e" cm="1">
        <f t="array" ref="H534">_xlfn.TEXTSPLIT(E534,"/")</f>
        <v>#VALUE!</v>
      </c>
    </row>
    <row r="535" spans="2:8" x14ac:dyDescent="0.3">
      <c r="B535" t="str">
        <f>IF(COUNTIF(C535:I535,UI!B$2)=0,"/nope/",ROW(A535)-1)</f>
        <v>/nope/</v>
      </c>
      <c r="C535" s="1" t="str" cm="1">
        <f t="array" ref="C535">IF(A535="","",_xlfn.TEXTSPLIT(A535,","))</f>
        <v/>
      </c>
      <c r="G535" s="1" t="str">
        <f t="shared" si="8"/>
        <v/>
      </c>
      <c r="H535" t="e" cm="1">
        <f t="array" ref="H535">_xlfn.TEXTSPLIT(E535,"/")</f>
        <v>#VALUE!</v>
      </c>
    </row>
    <row r="536" spans="2:8" x14ac:dyDescent="0.3">
      <c r="B536" t="str">
        <f>IF(COUNTIF(C536:I536,UI!B$2)=0,"/nope/",ROW(A536)-1)</f>
        <v>/nope/</v>
      </c>
      <c r="C536" s="1" t="str" cm="1">
        <f t="array" ref="C536">IF(A536="","",_xlfn.TEXTSPLIT(A536,","))</f>
        <v/>
      </c>
      <c r="G536" s="1" t="str">
        <f t="shared" si="8"/>
        <v/>
      </c>
      <c r="H536" t="e" cm="1">
        <f t="array" ref="H536">_xlfn.TEXTSPLIT(E536,"/")</f>
        <v>#VALUE!</v>
      </c>
    </row>
    <row r="537" spans="2:8" x14ac:dyDescent="0.3">
      <c r="B537" t="str">
        <f>IF(COUNTIF(C537:I537,UI!B$2)=0,"/nope/",ROW(A537)-1)</f>
        <v>/nope/</v>
      </c>
      <c r="C537" s="1" t="str" cm="1">
        <f t="array" ref="C537">IF(A537="","",_xlfn.TEXTSPLIT(A537,","))</f>
        <v/>
      </c>
      <c r="G537" s="1" t="str">
        <f t="shared" si="8"/>
        <v/>
      </c>
      <c r="H537" t="e" cm="1">
        <f t="array" ref="H537">_xlfn.TEXTSPLIT(E537,"/")</f>
        <v>#VALUE!</v>
      </c>
    </row>
    <row r="538" spans="2:8" x14ac:dyDescent="0.3">
      <c r="B538" t="str">
        <f>IF(COUNTIF(C538:I538,UI!B$2)=0,"/nope/",ROW(A538)-1)</f>
        <v>/nope/</v>
      </c>
      <c r="C538" s="1" t="str" cm="1">
        <f t="array" ref="C538">IF(A538="","",_xlfn.TEXTSPLIT(A538,","))</f>
        <v/>
      </c>
      <c r="G538" s="1" t="str">
        <f t="shared" si="8"/>
        <v/>
      </c>
      <c r="H538" t="e" cm="1">
        <f t="array" ref="H538">_xlfn.TEXTSPLIT(E538,"/")</f>
        <v>#VALUE!</v>
      </c>
    </row>
    <row r="539" spans="2:8" x14ac:dyDescent="0.3">
      <c r="B539" t="str">
        <f>IF(COUNTIF(C539:I539,UI!B$2)=0,"/nope/",ROW(A539)-1)</f>
        <v>/nope/</v>
      </c>
      <c r="C539" s="1" t="str" cm="1">
        <f t="array" ref="C539">IF(A539="","",_xlfn.TEXTSPLIT(A539,","))</f>
        <v/>
      </c>
      <c r="G539" s="1" t="str">
        <f t="shared" si="8"/>
        <v/>
      </c>
      <c r="H539" t="e" cm="1">
        <f t="array" ref="H539">_xlfn.TEXTSPLIT(E539,"/")</f>
        <v>#VALUE!</v>
      </c>
    </row>
    <row r="540" spans="2:8" x14ac:dyDescent="0.3">
      <c r="B540" t="str">
        <f>IF(COUNTIF(C540:I540,UI!B$2)=0,"/nope/",ROW(A540)-1)</f>
        <v>/nope/</v>
      </c>
      <c r="C540" s="1" t="str" cm="1">
        <f t="array" ref="C540">IF(A540="","",_xlfn.TEXTSPLIT(A540,","))</f>
        <v/>
      </c>
      <c r="G540" s="1" t="str">
        <f t="shared" si="8"/>
        <v/>
      </c>
      <c r="H540" t="e" cm="1">
        <f t="array" ref="H540">_xlfn.TEXTSPLIT(E540,"/")</f>
        <v>#VALUE!</v>
      </c>
    </row>
    <row r="541" spans="2:8" x14ac:dyDescent="0.3">
      <c r="B541" t="str">
        <f>IF(COUNTIF(C541:I541,UI!B$2)=0,"/nope/",ROW(A541)-1)</f>
        <v>/nope/</v>
      </c>
      <c r="C541" s="1" t="str" cm="1">
        <f t="array" ref="C541">IF(A541="","",_xlfn.TEXTSPLIT(A541,","))</f>
        <v/>
      </c>
      <c r="G541" s="1" t="str">
        <f t="shared" si="8"/>
        <v/>
      </c>
      <c r="H541" t="e" cm="1">
        <f t="array" ref="H541">_xlfn.TEXTSPLIT(E541,"/")</f>
        <v>#VALUE!</v>
      </c>
    </row>
    <row r="542" spans="2:8" x14ac:dyDescent="0.3">
      <c r="B542" t="str">
        <f>IF(COUNTIF(C542:I542,UI!B$2)=0,"/nope/",ROW(A542)-1)</f>
        <v>/nope/</v>
      </c>
      <c r="C542" s="1" t="str" cm="1">
        <f t="array" ref="C542">IF(A542="","",_xlfn.TEXTSPLIT(A542,","))</f>
        <v/>
      </c>
      <c r="G542" s="1" t="str">
        <f t="shared" si="8"/>
        <v/>
      </c>
      <c r="H542" t="e" cm="1">
        <f t="array" ref="H542">_xlfn.TEXTSPLIT(E542,"/")</f>
        <v>#VALUE!</v>
      </c>
    </row>
    <row r="543" spans="2:8" x14ac:dyDescent="0.3">
      <c r="B543" t="str">
        <f>IF(COUNTIF(C543:I543,UI!B$2)=0,"/nope/",ROW(A543)-1)</f>
        <v>/nope/</v>
      </c>
      <c r="C543" s="1" t="str" cm="1">
        <f t="array" ref="C543">IF(A543="","",_xlfn.TEXTSPLIT(A543,","))</f>
        <v/>
      </c>
      <c r="G543" s="1" t="str">
        <f t="shared" si="8"/>
        <v/>
      </c>
      <c r="H543" t="e" cm="1">
        <f t="array" ref="H543">_xlfn.TEXTSPLIT(E543,"/")</f>
        <v>#VALUE!</v>
      </c>
    </row>
    <row r="544" spans="2:8" x14ac:dyDescent="0.3">
      <c r="B544" t="str">
        <f>IF(COUNTIF(C544:I544,UI!B$2)=0,"/nope/",ROW(A544)-1)</f>
        <v>/nope/</v>
      </c>
      <c r="C544" s="1" t="str" cm="1">
        <f t="array" ref="C544">IF(A544="","",_xlfn.TEXTSPLIT(A544,","))</f>
        <v/>
      </c>
      <c r="G544" s="1" t="str">
        <f t="shared" si="8"/>
        <v/>
      </c>
      <c r="H544" t="e" cm="1">
        <f t="array" ref="H544">_xlfn.TEXTSPLIT(E544,"/")</f>
        <v>#VALUE!</v>
      </c>
    </row>
    <row r="545" spans="2:8" x14ac:dyDescent="0.3">
      <c r="B545" t="str">
        <f>IF(COUNTIF(C545:I545,UI!B$2)=0,"/nope/",ROW(A545)-1)</f>
        <v>/nope/</v>
      </c>
      <c r="C545" s="1" t="str" cm="1">
        <f t="array" ref="C545">IF(A545="","",_xlfn.TEXTSPLIT(A545,","))</f>
        <v/>
      </c>
      <c r="G545" s="1" t="str">
        <f t="shared" si="8"/>
        <v/>
      </c>
      <c r="H545" t="e" cm="1">
        <f t="array" ref="H545">_xlfn.TEXTSPLIT(E545,"/")</f>
        <v>#VALUE!</v>
      </c>
    </row>
    <row r="546" spans="2:8" x14ac:dyDescent="0.3">
      <c r="B546" t="str">
        <f>IF(COUNTIF(C546:I546,UI!B$2)=0,"/nope/",ROW(A546)-1)</f>
        <v>/nope/</v>
      </c>
      <c r="C546" s="1" t="str" cm="1">
        <f t="array" ref="C546">IF(A546="","",_xlfn.TEXTSPLIT(A546,","))</f>
        <v/>
      </c>
      <c r="G546" s="1" t="str">
        <f t="shared" si="8"/>
        <v/>
      </c>
      <c r="H546" t="e" cm="1">
        <f t="array" ref="H546">_xlfn.TEXTSPLIT(E546,"/")</f>
        <v>#VALUE!</v>
      </c>
    </row>
    <row r="547" spans="2:8" x14ac:dyDescent="0.3">
      <c r="B547" t="str">
        <f>IF(COUNTIF(C547:I547,UI!B$2)=0,"/nope/",ROW(A547)-1)</f>
        <v>/nope/</v>
      </c>
      <c r="C547" s="1" t="str" cm="1">
        <f t="array" ref="C547">IF(A547="","",_xlfn.TEXTSPLIT(A547,","))</f>
        <v/>
      </c>
      <c r="G547" s="1" t="str">
        <f t="shared" si="8"/>
        <v/>
      </c>
      <c r="H547" t="e" cm="1">
        <f t="array" ref="H547">_xlfn.TEXTSPLIT(E547,"/")</f>
        <v>#VALUE!</v>
      </c>
    </row>
    <row r="548" spans="2:8" x14ac:dyDescent="0.3">
      <c r="B548" t="str">
        <f>IF(COUNTIF(C548:I548,UI!B$2)=0,"/nope/",ROW(A548)-1)</f>
        <v>/nope/</v>
      </c>
      <c r="C548" s="1" t="str" cm="1">
        <f t="array" ref="C548">IF(A548="","",_xlfn.TEXTSPLIT(A548,","))</f>
        <v/>
      </c>
      <c r="G548" s="1" t="str">
        <f t="shared" si="8"/>
        <v/>
      </c>
      <c r="H548" t="e" cm="1">
        <f t="array" ref="H548">_xlfn.TEXTSPLIT(E548,"/")</f>
        <v>#VALUE!</v>
      </c>
    </row>
    <row r="549" spans="2:8" x14ac:dyDescent="0.3">
      <c r="B549" t="str">
        <f>IF(COUNTIF(C549:I549,UI!B$2)=0,"/nope/",ROW(A549)-1)</f>
        <v>/nope/</v>
      </c>
      <c r="C549" s="1" t="str" cm="1">
        <f t="array" ref="C549">IF(A549="","",_xlfn.TEXTSPLIT(A549,","))</f>
        <v/>
      </c>
      <c r="G549" s="1" t="str">
        <f t="shared" si="8"/>
        <v/>
      </c>
      <c r="H549" t="e" cm="1">
        <f t="array" ref="H549">_xlfn.TEXTSPLIT(E549,"/")</f>
        <v>#VALUE!</v>
      </c>
    </row>
    <row r="550" spans="2:8" x14ac:dyDescent="0.3">
      <c r="B550" t="str">
        <f>IF(COUNTIF(C550:I550,UI!B$2)=0,"/nope/",ROW(A550)-1)</f>
        <v>/nope/</v>
      </c>
      <c r="C550" s="1" t="str" cm="1">
        <f t="array" ref="C550">IF(A550="","",_xlfn.TEXTSPLIT(A550,","))</f>
        <v/>
      </c>
      <c r="G550" s="1" t="str">
        <f t="shared" si="8"/>
        <v/>
      </c>
      <c r="H550" t="e" cm="1">
        <f t="array" ref="H550">_xlfn.TEXTSPLIT(E550,"/")</f>
        <v>#VALUE!</v>
      </c>
    </row>
    <row r="551" spans="2:8" x14ac:dyDescent="0.3">
      <c r="B551" t="str">
        <f>IF(COUNTIF(C551:I551,UI!B$2)=0,"/nope/",ROW(A551)-1)</f>
        <v>/nope/</v>
      </c>
      <c r="C551" s="1" t="str" cm="1">
        <f t="array" ref="C551">IF(A551="","",_xlfn.TEXTSPLIT(A551,","))</f>
        <v/>
      </c>
      <c r="G551" s="1" t="str">
        <f t="shared" si="8"/>
        <v/>
      </c>
      <c r="H551" t="e" cm="1">
        <f t="array" ref="H551">_xlfn.TEXTSPLIT(E551,"/")</f>
        <v>#VALUE!</v>
      </c>
    </row>
    <row r="552" spans="2:8" x14ac:dyDescent="0.3">
      <c r="B552" t="str">
        <f>IF(COUNTIF(C552:I552,UI!B$2)=0,"/nope/",ROW(A552)-1)</f>
        <v>/nope/</v>
      </c>
      <c r="C552" s="1" t="str" cm="1">
        <f t="array" ref="C552">IF(A552="","",_xlfn.TEXTSPLIT(A552,","))</f>
        <v/>
      </c>
      <c r="G552" s="1" t="str">
        <f t="shared" si="8"/>
        <v/>
      </c>
      <c r="H552" t="e" cm="1">
        <f t="array" ref="H552">_xlfn.TEXTSPLIT(E552,"/")</f>
        <v>#VALUE!</v>
      </c>
    </row>
    <row r="553" spans="2:8" x14ac:dyDescent="0.3">
      <c r="B553" t="str">
        <f>IF(COUNTIF(C553:I553,UI!B$2)=0,"/nope/",ROW(A553)-1)</f>
        <v>/nope/</v>
      </c>
      <c r="C553" s="1" t="str" cm="1">
        <f t="array" ref="C553">IF(A553="","",_xlfn.TEXTSPLIT(A553,","))</f>
        <v/>
      </c>
      <c r="G553" s="1" t="str">
        <f t="shared" si="8"/>
        <v/>
      </c>
      <c r="H553" t="e" cm="1">
        <f t="array" ref="H553">_xlfn.TEXTSPLIT(E553,"/")</f>
        <v>#VALUE!</v>
      </c>
    </row>
    <row r="554" spans="2:8" x14ac:dyDescent="0.3">
      <c r="B554" t="str">
        <f>IF(COUNTIF(C554:I554,UI!B$2)=0,"/nope/",ROW(A554)-1)</f>
        <v>/nope/</v>
      </c>
      <c r="C554" s="1" t="str" cm="1">
        <f t="array" ref="C554">IF(A554="","",_xlfn.TEXTSPLIT(A554,","))</f>
        <v/>
      </c>
      <c r="G554" s="1" t="str">
        <f t="shared" si="8"/>
        <v/>
      </c>
      <c r="H554" t="e" cm="1">
        <f t="array" ref="H554">_xlfn.TEXTSPLIT(E554,"/")</f>
        <v>#VALUE!</v>
      </c>
    </row>
    <row r="555" spans="2:8" x14ac:dyDescent="0.3">
      <c r="B555" t="str">
        <f>IF(COUNTIF(C555:I555,UI!B$2)=0,"/nope/",ROW(A555)-1)</f>
        <v>/nope/</v>
      </c>
      <c r="C555" s="1" t="str" cm="1">
        <f t="array" ref="C555">IF(A555="","",_xlfn.TEXTSPLIT(A555,","))</f>
        <v/>
      </c>
      <c r="G555" s="1" t="str">
        <f t="shared" si="8"/>
        <v/>
      </c>
      <c r="H555" t="e" cm="1">
        <f t="array" ref="H555">_xlfn.TEXTSPLIT(E555,"/")</f>
        <v>#VALUE!</v>
      </c>
    </row>
    <row r="556" spans="2:8" x14ac:dyDescent="0.3">
      <c r="B556" t="str">
        <f>IF(COUNTIF(C556:I556,UI!B$2)=0,"/nope/",ROW(A556)-1)</f>
        <v>/nope/</v>
      </c>
      <c r="C556" s="1" t="str" cm="1">
        <f t="array" ref="C556">IF(A556="","",_xlfn.TEXTSPLIT(A556,","))</f>
        <v/>
      </c>
      <c r="G556" s="1" t="str">
        <f t="shared" si="8"/>
        <v/>
      </c>
      <c r="H556" t="e" cm="1">
        <f t="array" ref="H556">_xlfn.TEXTSPLIT(E556,"/")</f>
        <v>#VALUE!</v>
      </c>
    </row>
    <row r="557" spans="2:8" x14ac:dyDescent="0.3">
      <c r="B557" t="str">
        <f>IF(COUNTIF(C557:I557,UI!B$2)=0,"/nope/",ROW(A557)-1)</f>
        <v>/nope/</v>
      </c>
      <c r="C557" s="1" t="str" cm="1">
        <f t="array" ref="C557">IF(A557="","",_xlfn.TEXTSPLIT(A557,","))</f>
        <v/>
      </c>
      <c r="G557" s="1" t="str">
        <f t="shared" si="8"/>
        <v/>
      </c>
      <c r="H557" t="e" cm="1">
        <f t="array" ref="H557">_xlfn.TEXTSPLIT(E557,"/")</f>
        <v>#VALUE!</v>
      </c>
    </row>
    <row r="558" spans="2:8" x14ac:dyDescent="0.3">
      <c r="B558" t="str">
        <f>IF(COUNTIF(C558:I558,UI!B$2)=0,"/nope/",ROW(A558)-1)</f>
        <v>/nope/</v>
      </c>
      <c r="C558" s="1" t="str" cm="1">
        <f t="array" ref="C558">IF(A558="","",_xlfn.TEXTSPLIT(A558,","))</f>
        <v/>
      </c>
      <c r="G558" s="1" t="str">
        <f t="shared" si="8"/>
        <v/>
      </c>
      <c r="H558" t="e" cm="1">
        <f t="array" ref="H558">_xlfn.TEXTSPLIT(E558,"/")</f>
        <v>#VALUE!</v>
      </c>
    </row>
    <row r="559" spans="2:8" x14ac:dyDescent="0.3">
      <c r="B559" t="str">
        <f>IF(COUNTIF(C559:I559,UI!B$2)=0,"/nope/",ROW(A559)-1)</f>
        <v>/nope/</v>
      </c>
      <c r="C559" s="1" t="str" cm="1">
        <f t="array" ref="C559">IF(A559="","",_xlfn.TEXTSPLIT(A559,","))</f>
        <v/>
      </c>
      <c r="G559" s="1" t="str">
        <f t="shared" si="8"/>
        <v/>
      </c>
      <c r="H559" t="e" cm="1">
        <f t="array" ref="H559">_xlfn.TEXTSPLIT(E559,"/")</f>
        <v>#VALUE!</v>
      </c>
    </row>
    <row r="560" spans="2:8" x14ac:dyDescent="0.3">
      <c r="B560" t="str">
        <f>IF(COUNTIF(C560:I560,UI!B$2)=0,"/nope/",ROW(A560)-1)</f>
        <v>/nope/</v>
      </c>
      <c r="C560" s="1" t="str" cm="1">
        <f t="array" ref="C560">IF(A560="","",_xlfn.TEXTSPLIT(A560,","))</f>
        <v/>
      </c>
      <c r="G560" s="1" t="str">
        <f t="shared" si="8"/>
        <v/>
      </c>
      <c r="H560" t="e" cm="1">
        <f t="array" ref="H560">_xlfn.TEXTSPLIT(E560,"/")</f>
        <v>#VALUE!</v>
      </c>
    </row>
    <row r="561" spans="2:8" x14ac:dyDescent="0.3">
      <c r="B561" t="str">
        <f>IF(COUNTIF(C561:I561,UI!B$2)=0,"/nope/",ROW(A561)-1)</f>
        <v>/nope/</v>
      </c>
      <c r="C561" s="1" t="str" cm="1">
        <f t="array" ref="C561">IF(A561="","",_xlfn.TEXTSPLIT(A561,","))</f>
        <v/>
      </c>
      <c r="G561" s="1" t="str">
        <f t="shared" si="8"/>
        <v/>
      </c>
      <c r="H561" t="e" cm="1">
        <f t="array" ref="H561">_xlfn.TEXTSPLIT(E561,"/")</f>
        <v>#VALUE!</v>
      </c>
    </row>
    <row r="562" spans="2:8" x14ac:dyDescent="0.3">
      <c r="B562" t="str">
        <f>IF(COUNTIF(C562:I562,UI!B$2)=0,"/nope/",ROW(A562)-1)</f>
        <v>/nope/</v>
      </c>
      <c r="C562" s="1" t="str" cm="1">
        <f t="array" ref="C562">IF(A562="","",_xlfn.TEXTSPLIT(A562,","))</f>
        <v/>
      </c>
      <c r="G562" s="1" t="str">
        <f t="shared" si="8"/>
        <v/>
      </c>
      <c r="H562" t="e" cm="1">
        <f t="array" ref="H562">_xlfn.TEXTSPLIT(E562,"/")</f>
        <v>#VALUE!</v>
      </c>
    </row>
    <row r="563" spans="2:8" x14ac:dyDescent="0.3">
      <c r="B563" t="str">
        <f>IF(COUNTIF(C563:I563,UI!B$2)=0,"/nope/",ROW(A563)-1)</f>
        <v>/nope/</v>
      </c>
      <c r="C563" s="1" t="str" cm="1">
        <f t="array" ref="C563">IF(A563="","",_xlfn.TEXTSPLIT(A563,","))</f>
        <v/>
      </c>
      <c r="G563" s="1" t="str">
        <f t="shared" si="8"/>
        <v/>
      </c>
      <c r="H563" t="e" cm="1">
        <f t="array" ref="H563">_xlfn.TEXTSPLIT(E563,"/")</f>
        <v>#VALUE!</v>
      </c>
    </row>
    <row r="564" spans="2:8" x14ac:dyDescent="0.3">
      <c r="B564" t="str">
        <f>IF(COUNTIF(C564:I564,UI!B$2)=0,"/nope/",ROW(A564)-1)</f>
        <v>/nope/</v>
      </c>
      <c r="C564" s="1" t="str" cm="1">
        <f t="array" ref="C564">IF(A564="","",_xlfn.TEXTSPLIT(A564,","))</f>
        <v/>
      </c>
      <c r="G564" s="1" t="str">
        <f t="shared" si="8"/>
        <v/>
      </c>
      <c r="H564" t="e" cm="1">
        <f t="array" ref="H564">_xlfn.TEXTSPLIT(E564,"/")</f>
        <v>#VALUE!</v>
      </c>
    </row>
    <row r="565" spans="2:8" x14ac:dyDescent="0.3">
      <c r="B565" t="str">
        <f>IF(COUNTIF(C565:I565,UI!B$2)=0,"/nope/",ROW(A565)-1)</f>
        <v>/nope/</v>
      </c>
      <c r="C565" s="1" t="str" cm="1">
        <f t="array" ref="C565">IF(A565="","",_xlfn.TEXTSPLIT(A565,","))</f>
        <v/>
      </c>
      <c r="G565" s="1" t="str">
        <f t="shared" si="8"/>
        <v/>
      </c>
      <c r="H565" t="e" cm="1">
        <f t="array" ref="H565">_xlfn.TEXTSPLIT(E565,"/")</f>
        <v>#VALUE!</v>
      </c>
    </row>
    <row r="566" spans="2:8" x14ac:dyDescent="0.3">
      <c r="B566" t="str">
        <f>IF(COUNTIF(C566:I566,UI!B$2)=0,"/nope/",ROW(A566)-1)</f>
        <v>/nope/</v>
      </c>
      <c r="C566" s="1" t="str" cm="1">
        <f t="array" ref="C566">IF(A566="","",_xlfn.TEXTSPLIT(A566,","))</f>
        <v/>
      </c>
      <c r="G566" s="1" t="str">
        <f t="shared" si="8"/>
        <v/>
      </c>
      <c r="H566" t="e" cm="1">
        <f t="array" ref="H566">_xlfn.TEXTSPLIT(E566,"/")</f>
        <v>#VALUE!</v>
      </c>
    </row>
    <row r="567" spans="2:8" x14ac:dyDescent="0.3">
      <c r="B567" t="str">
        <f>IF(COUNTIF(C567:I567,UI!B$2)=0,"/nope/",ROW(A567)-1)</f>
        <v>/nope/</v>
      </c>
      <c r="C567" s="1" t="str" cm="1">
        <f t="array" ref="C567">IF(A567="","",_xlfn.TEXTSPLIT(A567,","))</f>
        <v/>
      </c>
      <c r="G567" s="1" t="str">
        <f t="shared" si="8"/>
        <v/>
      </c>
      <c r="H567" t="e" cm="1">
        <f t="array" ref="H567">_xlfn.TEXTSPLIT(E567,"/")</f>
        <v>#VALUE!</v>
      </c>
    </row>
    <row r="568" spans="2:8" x14ac:dyDescent="0.3">
      <c r="B568" t="str">
        <f>IF(COUNTIF(C568:I568,UI!B$2)=0,"/nope/",ROW(A568)-1)</f>
        <v>/nope/</v>
      </c>
      <c r="C568" s="1" t="str" cm="1">
        <f t="array" ref="C568">IF(A568="","",_xlfn.TEXTSPLIT(A568,","))</f>
        <v/>
      </c>
      <c r="G568" s="1" t="str">
        <f t="shared" si="8"/>
        <v/>
      </c>
      <c r="H568" t="e" cm="1">
        <f t="array" ref="H568">_xlfn.TEXTSPLIT(E568,"/")</f>
        <v>#VALUE!</v>
      </c>
    </row>
    <row r="569" spans="2:8" x14ac:dyDescent="0.3">
      <c r="B569" t="str">
        <f>IF(COUNTIF(C569:I569,UI!B$2)=0,"/nope/",ROW(A569)-1)</f>
        <v>/nope/</v>
      </c>
      <c r="C569" s="1" t="str" cm="1">
        <f t="array" ref="C569">IF(A569="","",_xlfn.TEXTSPLIT(A569,","))</f>
        <v/>
      </c>
      <c r="G569" s="1" t="str">
        <f t="shared" si="8"/>
        <v/>
      </c>
      <c r="H569" t="e" cm="1">
        <f t="array" ref="H569">_xlfn.TEXTSPLIT(E569,"/")</f>
        <v>#VALUE!</v>
      </c>
    </row>
    <row r="570" spans="2:8" x14ac:dyDescent="0.3">
      <c r="B570" t="str">
        <f>IF(COUNTIF(C570:I570,UI!B$2)=0,"/nope/",ROW(A570)-1)</f>
        <v>/nope/</v>
      </c>
      <c r="C570" s="1" t="str" cm="1">
        <f t="array" ref="C570">IF(A570="","",_xlfn.TEXTSPLIT(A570,","))</f>
        <v/>
      </c>
      <c r="G570" s="1" t="str">
        <f t="shared" si="8"/>
        <v/>
      </c>
      <c r="H570" t="e" cm="1">
        <f t="array" ref="H570">_xlfn.TEXTSPLIT(E570,"/")</f>
        <v>#VALUE!</v>
      </c>
    </row>
    <row r="571" spans="2:8" x14ac:dyDescent="0.3">
      <c r="B571" t="str">
        <f>IF(COUNTIF(C571:I571,UI!B$2)=0,"/nope/",ROW(A571)-1)</f>
        <v>/nope/</v>
      </c>
      <c r="C571" s="1" t="str" cm="1">
        <f t="array" ref="C571">IF(A571="","",_xlfn.TEXTSPLIT(A571,","))</f>
        <v/>
      </c>
      <c r="G571" s="1" t="str">
        <f t="shared" si="8"/>
        <v/>
      </c>
      <c r="H571" t="e" cm="1">
        <f t="array" ref="H571">_xlfn.TEXTSPLIT(E571,"/")</f>
        <v>#VALUE!</v>
      </c>
    </row>
    <row r="572" spans="2:8" x14ac:dyDescent="0.3">
      <c r="B572" t="str">
        <f>IF(COUNTIF(C572:I572,UI!B$2)=0,"/nope/",ROW(A572)-1)</f>
        <v>/nope/</v>
      </c>
      <c r="C572" s="1" t="str" cm="1">
        <f t="array" ref="C572">IF(A572="","",_xlfn.TEXTSPLIT(A572,","))</f>
        <v/>
      </c>
      <c r="G572" s="1" t="str">
        <f t="shared" si="8"/>
        <v/>
      </c>
      <c r="H572" t="e" cm="1">
        <f t="array" ref="H572">_xlfn.TEXTSPLIT(E572,"/")</f>
        <v>#VALUE!</v>
      </c>
    </row>
    <row r="573" spans="2:8" x14ac:dyDescent="0.3">
      <c r="B573" t="str">
        <f>IF(COUNTIF(C573:I573,UI!B$2)=0,"/nope/",ROW(A573)-1)</f>
        <v>/nope/</v>
      </c>
      <c r="C573" s="1" t="str" cm="1">
        <f t="array" ref="C573">IF(A573="","",_xlfn.TEXTSPLIT(A573,","))</f>
        <v/>
      </c>
      <c r="G573" s="1" t="str">
        <f t="shared" si="8"/>
        <v/>
      </c>
      <c r="H573" t="e" cm="1">
        <f t="array" ref="H573">_xlfn.TEXTSPLIT(E573,"/")</f>
        <v>#VALUE!</v>
      </c>
    </row>
    <row r="574" spans="2:8" x14ac:dyDescent="0.3">
      <c r="B574" t="str">
        <f>IF(COUNTIF(C574:I574,UI!B$2)=0,"/nope/",ROW(A574)-1)</f>
        <v>/nope/</v>
      </c>
      <c r="C574" s="1" t="str" cm="1">
        <f t="array" ref="C574">IF(A574="","",_xlfn.TEXTSPLIT(A574,","))</f>
        <v/>
      </c>
      <c r="G574" s="1" t="str">
        <f t="shared" si="8"/>
        <v/>
      </c>
      <c r="H574" t="e" cm="1">
        <f t="array" ref="H574">_xlfn.TEXTSPLIT(E574,"/")</f>
        <v>#VALUE!</v>
      </c>
    </row>
    <row r="575" spans="2:8" x14ac:dyDescent="0.3">
      <c r="B575" t="str">
        <f>IF(COUNTIF(C575:I575,UI!B$2)=0,"/nope/",ROW(A575)-1)</f>
        <v>/nope/</v>
      </c>
      <c r="C575" s="1" t="str" cm="1">
        <f t="array" ref="C575">IF(A575="","",_xlfn.TEXTSPLIT(A575,","))</f>
        <v/>
      </c>
      <c r="G575" s="1" t="str">
        <f t="shared" si="8"/>
        <v/>
      </c>
      <c r="H575" t="e" cm="1">
        <f t="array" ref="H575">_xlfn.TEXTSPLIT(E575,"/")</f>
        <v>#VALUE!</v>
      </c>
    </row>
    <row r="576" spans="2:8" x14ac:dyDescent="0.3">
      <c r="B576" t="str">
        <f>IF(COUNTIF(C576:I576,UI!B$2)=0,"/nope/",ROW(A576)-1)</f>
        <v>/nope/</v>
      </c>
      <c r="C576" s="1" t="str" cm="1">
        <f t="array" ref="C576">IF(A576="","",_xlfn.TEXTSPLIT(A576,","))</f>
        <v/>
      </c>
      <c r="G576" s="1" t="str">
        <f t="shared" si="8"/>
        <v/>
      </c>
      <c r="H576" t="e" cm="1">
        <f t="array" ref="H576">_xlfn.TEXTSPLIT(E576,"/")</f>
        <v>#VALUE!</v>
      </c>
    </row>
    <row r="577" spans="2:8" x14ac:dyDescent="0.3">
      <c r="B577" t="str">
        <f>IF(COUNTIF(C577:I577,UI!B$2)=0,"/nope/",ROW(A577)-1)</f>
        <v>/nope/</v>
      </c>
      <c r="C577" s="1" t="str" cm="1">
        <f t="array" ref="C577">IF(A577="","",_xlfn.TEXTSPLIT(A577,","))</f>
        <v/>
      </c>
      <c r="G577" s="1" t="str">
        <f t="shared" si="8"/>
        <v/>
      </c>
      <c r="H577" t="e" cm="1">
        <f t="array" ref="H577">_xlfn.TEXTSPLIT(E577,"/")</f>
        <v>#VALUE!</v>
      </c>
    </row>
    <row r="578" spans="2:8" x14ac:dyDescent="0.3">
      <c r="B578" t="str">
        <f>IF(COUNTIF(C578:I578,UI!B$2)=0,"/nope/",ROW(A578)-1)</f>
        <v>/nope/</v>
      </c>
      <c r="C578" s="1" t="str" cm="1">
        <f t="array" ref="C578">IF(A578="","",_xlfn.TEXTSPLIT(A578,","))</f>
        <v/>
      </c>
      <c r="G578" s="1" t="str">
        <f t="shared" ref="G578:G625" si="9">IF(E578="","",IF(I578="",E578,""))</f>
        <v/>
      </c>
      <c r="H578" t="e" cm="1">
        <f t="array" ref="H578">_xlfn.TEXTSPLIT(E578,"/")</f>
        <v>#VALUE!</v>
      </c>
    </row>
    <row r="579" spans="2:8" x14ac:dyDescent="0.3">
      <c r="B579" t="str">
        <f>IF(COUNTIF(C579:I579,UI!B$2)=0,"/nope/",ROW(A579)-1)</f>
        <v>/nope/</v>
      </c>
      <c r="C579" s="1" t="str" cm="1">
        <f t="array" ref="C579">IF(A579="","",_xlfn.TEXTSPLIT(A579,","))</f>
        <v/>
      </c>
      <c r="G579" s="1" t="str">
        <f t="shared" si="9"/>
        <v/>
      </c>
      <c r="H579" t="e" cm="1">
        <f t="array" ref="H579">_xlfn.TEXTSPLIT(E579,"/")</f>
        <v>#VALUE!</v>
      </c>
    </row>
    <row r="580" spans="2:8" x14ac:dyDescent="0.3">
      <c r="B580" t="str">
        <f>IF(COUNTIF(C580:I580,UI!B$2)=0,"/nope/",ROW(A580)-1)</f>
        <v>/nope/</v>
      </c>
      <c r="C580" s="1" t="str" cm="1">
        <f t="array" ref="C580">IF(A580="","",_xlfn.TEXTSPLIT(A580,","))</f>
        <v/>
      </c>
      <c r="G580" s="1" t="str">
        <f t="shared" si="9"/>
        <v/>
      </c>
      <c r="H580" t="e" cm="1">
        <f t="array" ref="H580">_xlfn.TEXTSPLIT(E580,"/")</f>
        <v>#VALUE!</v>
      </c>
    </row>
    <row r="581" spans="2:8" x14ac:dyDescent="0.3">
      <c r="B581" t="str">
        <f>IF(COUNTIF(C581:I581,UI!B$2)=0,"/nope/",ROW(A581)-1)</f>
        <v>/nope/</v>
      </c>
      <c r="C581" s="1" t="str" cm="1">
        <f t="array" ref="C581">IF(A581="","",_xlfn.TEXTSPLIT(A581,","))</f>
        <v/>
      </c>
      <c r="G581" s="1" t="str">
        <f t="shared" si="9"/>
        <v/>
      </c>
      <c r="H581" t="e" cm="1">
        <f t="array" ref="H581">_xlfn.TEXTSPLIT(E581,"/")</f>
        <v>#VALUE!</v>
      </c>
    </row>
    <row r="582" spans="2:8" x14ac:dyDescent="0.3">
      <c r="B582" t="str">
        <f>IF(COUNTIF(C582:I582,UI!B$2)=0,"/nope/",ROW(A582)-1)</f>
        <v>/nope/</v>
      </c>
      <c r="C582" s="1" t="str" cm="1">
        <f t="array" ref="C582">IF(A582="","",_xlfn.TEXTSPLIT(A582,","))</f>
        <v/>
      </c>
      <c r="G582" s="1" t="str">
        <f t="shared" si="9"/>
        <v/>
      </c>
      <c r="H582" t="e" cm="1">
        <f t="array" ref="H582">_xlfn.TEXTSPLIT(E582,"/")</f>
        <v>#VALUE!</v>
      </c>
    </row>
    <row r="583" spans="2:8" x14ac:dyDescent="0.3">
      <c r="B583" t="str">
        <f>IF(COUNTIF(C583:I583,UI!B$2)=0,"/nope/",ROW(A583)-1)</f>
        <v>/nope/</v>
      </c>
      <c r="C583" s="1" t="str" cm="1">
        <f t="array" ref="C583">IF(A583="","",_xlfn.TEXTSPLIT(A583,","))</f>
        <v/>
      </c>
      <c r="G583" s="1" t="str">
        <f t="shared" si="9"/>
        <v/>
      </c>
      <c r="H583" t="e" cm="1">
        <f t="array" ref="H583">_xlfn.TEXTSPLIT(E583,"/")</f>
        <v>#VALUE!</v>
      </c>
    </row>
    <row r="584" spans="2:8" x14ac:dyDescent="0.3">
      <c r="B584" t="str">
        <f>IF(COUNTIF(C584:I584,UI!B$2)=0,"/nope/",ROW(A584)-1)</f>
        <v>/nope/</v>
      </c>
      <c r="C584" s="1" t="str" cm="1">
        <f t="array" ref="C584">IF(A584="","",_xlfn.TEXTSPLIT(A584,","))</f>
        <v/>
      </c>
      <c r="G584" s="1" t="str">
        <f t="shared" si="9"/>
        <v/>
      </c>
      <c r="H584" t="e" cm="1">
        <f t="array" ref="H584">_xlfn.TEXTSPLIT(E584,"/")</f>
        <v>#VALUE!</v>
      </c>
    </row>
    <row r="585" spans="2:8" x14ac:dyDescent="0.3">
      <c r="B585" t="str">
        <f>IF(COUNTIF(C585:I585,UI!B$2)=0,"/nope/",ROW(A585)-1)</f>
        <v>/nope/</v>
      </c>
      <c r="C585" s="1" t="str" cm="1">
        <f t="array" ref="C585">IF(A585="","",_xlfn.TEXTSPLIT(A585,","))</f>
        <v/>
      </c>
      <c r="G585" s="1" t="str">
        <f t="shared" si="9"/>
        <v/>
      </c>
      <c r="H585" t="e" cm="1">
        <f t="array" ref="H585">_xlfn.TEXTSPLIT(E585,"/")</f>
        <v>#VALUE!</v>
      </c>
    </row>
    <row r="586" spans="2:8" x14ac:dyDescent="0.3">
      <c r="B586" t="str">
        <f>IF(COUNTIF(C586:I586,UI!B$2)=0,"/nope/",ROW(A586)-1)</f>
        <v>/nope/</v>
      </c>
      <c r="C586" s="1" t="str" cm="1">
        <f t="array" ref="C586">IF(A586="","",_xlfn.TEXTSPLIT(A586,","))</f>
        <v/>
      </c>
      <c r="G586" s="1" t="str">
        <f t="shared" si="9"/>
        <v/>
      </c>
      <c r="H586" t="e" cm="1">
        <f t="array" ref="H586">_xlfn.TEXTSPLIT(E586,"/")</f>
        <v>#VALUE!</v>
      </c>
    </row>
    <row r="587" spans="2:8" x14ac:dyDescent="0.3">
      <c r="B587" t="str">
        <f>IF(COUNTIF(C587:I587,UI!B$2)=0,"/nope/",ROW(A587)-1)</f>
        <v>/nope/</v>
      </c>
      <c r="C587" s="1" t="str" cm="1">
        <f t="array" ref="C587">IF(A587="","",_xlfn.TEXTSPLIT(A587,","))</f>
        <v/>
      </c>
      <c r="G587" s="1" t="str">
        <f t="shared" si="9"/>
        <v/>
      </c>
      <c r="H587" t="e" cm="1">
        <f t="array" ref="H587">_xlfn.TEXTSPLIT(E587,"/")</f>
        <v>#VALUE!</v>
      </c>
    </row>
    <row r="588" spans="2:8" x14ac:dyDescent="0.3">
      <c r="B588" t="str">
        <f>IF(COUNTIF(C588:I588,UI!B$2)=0,"/nope/",ROW(A588)-1)</f>
        <v>/nope/</v>
      </c>
      <c r="C588" s="1" t="str" cm="1">
        <f t="array" ref="C588">IF(A588="","",_xlfn.TEXTSPLIT(A588,","))</f>
        <v/>
      </c>
      <c r="G588" s="1" t="str">
        <f t="shared" si="9"/>
        <v/>
      </c>
      <c r="H588" t="e" cm="1">
        <f t="array" ref="H588">_xlfn.TEXTSPLIT(E588,"/")</f>
        <v>#VALUE!</v>
      </c>
    </row>
    <row r="589" spans="2:8" x14ac:dyDescent="0.3">
      <c r="B589" t="str">
        <f>IF(COUNTIF(C589:I589,UI!B$2)=0,"/nope/",ROW(A589)-1)</f>
        <v>/nope/</v>
      </c>
      <c r="C589" s="1" t="str" cm="1">
        <f t="array" ref="C589">IF(A589="","",_xlfn.TEXTSPLIT(A589,","))</f>
        <v/>
      </c>
      <c r="G589" s="1" t="str">
        <f t="shared" si="9"/>
        <v/>
      </c>
      <c r="H589" t="e" cm="1">
        <f t="array" ref="H589">_xlfn.TEXTSPLIT(E589,"/")</f>
        <v>#VALUE!</v>
      </c>
    </row>
    <row r="590" spans="2:8" x14ac:dyDescent="0.3">
      <c r="B590" t="str">
        <f>IF(COUNTIF(C590:I590,UI!B$2)=0,"/nope/",ROW(A590)-1)</f>
        <v>/nope/</v>
      </c>
      <c r="C590" s="1" t="str" cm="1">
        <f t="array" ref="C590">IF(A590="","",_xlfn.TEXTSPLIT(A590,","))</f>
        <v/>
      </c>
      <c r="G590" s="1" t="str">
        <f t="shared" si="9"/>
        <v/>
      </c>
      <c r="H590" t="e" cm="1">
        <f t="array" ref="H590">_xlfn.TEXTSPLIT(E590,"/")</f>
        <v>#VALUE!</v>
      </c>
    </row>
    <row r="591" spans="2:8" x14ac:dyDescent="0.3">
      <c r="B591" t="str">
        <f>IF(COUNTIF(C591:I591,UI!B$2)=0,"/nope/",ROW(A591)-1)</f>
        <v>/nope/</v>
      </c>
      <c r="C591" s="1" t="str" cm="1">
        <f t="array" ref="C591">IF(A591="","",_xlfn.TEXTSPLIT(A591,","))</f>
        <v/>
      </c>
      <c r="G591" s="1" t="str">
        <f t="shared" si="9"/>
        <v/>
      </c>
      <c r="H591" t="e" cm="1">
        <f t="array" ref="H591">_xlfn.TEXTSPLIT(E591,"/")</f>
        <v>#VALUE!</v>
      </c>
    </row>
    <row r="592" spans="2:8" x14ac:dyDescent="0.3">
      <c r="B592" t="str">
        <f>IF(COUNTIF(C592:I592,UI!B$2)=0,"/nope/",ROW(A592)-1)</f>
        <v>/nope/</v>
      </c>
      <c r="C592" s="1" t="str" cm="1">
        <f t="array" ref="C592">IF(A592="","",_xlfn.TEXTSPLIT(A592,","))</f>
        <v/>
      </c>
      <c r="G592" s="1" t="str">
        <f t="shared" si="9"/>
        <v/>
      </c>
      <c r="H592" t="e" cm="1">
        <f t="array" ref="H592">_xlfn.TEXTSPLIT(E592,"/")</f>
        <v>#VALUE!</v>
      </c>
    </row>
    <row r="593" spans="2:8" x14ac:dyDescent="0.3">
      <c r="B593" t="str">
        <f>IF(COUNTIF(C593:I593,UI!B$2)=0,"/nope/",ROW(A593)-1)</f>
        <v>/nope/</v>
      </c>
      <c r="C593" s="1" t="str" cm="1">
        <f t="array" ref="C593">IF(A593="","",_xlfn.TEXTSPLIT(A593,","))</f>
        <v/>
      </c>
      <c r="G593" s="1" t="str">
        <f t="shared" si="9"/>
        <v/>
      </c>
      <c r="H593" t="e" cm="1">
        <f t="array" ref="H593">_xlfn.TEXTSPLIT(E593,"/")</f>
        <v>#VALUE!</v>
      </c>
    </row>
    <row r="594" spans="2:8" x14ac:dyDescent="0.3">
      <c r="B594" t="str">
        <f>IF(COUNTIF(C594:I594,UI!B$2)=0,"/nope/",ROW(A594)-1)</f>
        <v>/nope/</v>
      </c>
      <c r="C594" s="1" t="str" cm="1">
        <f t="array" ref="C594">IF(A594="","",_xlfn.TEXTSPLIT(A594,","))</f>
        <v/>
      </c>
      <c r="G594" s="1" t="str">
        <f t="shared" si="9"/>
        <v/>
      </c>
      <c r="H594" t="e" cm="1">
        <f t="array" ref="H594">_xlfn.TEXTSPLIT(E594,"/")</f>
        <v>#VALUE!</v>
      </c>
    </row>
    <row r="595" spans="2:8" x14ac:dyDescent="0.3">
      <c r="B595" t="str">
        <f>IF(COUNTIF(C595:I595,UI!B$2)=0,"/nope/",ROW(A595)-1)</f>
        <v>/nope/</v>
      </c>
      <c r="C595" s="1" t="str" cm="1">
        <f t="array" ref="C595">IF(A595="","",_xlfn.TEXTSPLIT(A595,","))</f>
        <v/>
      </c>
      <c r="G595" s="1" t="str">
        <f t="shared" si="9"/>
        <v/>
      </c>
      <c r="H595" t="e" cm="1">
        <f t="array" ref="H595">_xlfn.TEXTSPLIT(E595,"/")</f>
        <v>#VALUE!</v>
      </c>
    </row>
    <row r="596" spans="2:8" x14ac:dyDescent="0.3">
      <c r="B596" t="str">
        <f>IF(COUNTIF(C596:I596,UI!B$2)=0,"/nope/",ROW(A596)-1)</f>
        <v>/nope/</v>
      </c>
      <c r="C596" s="1" t="str" cm="1">
        <f t="array" ref="C596">IF(A596="","",_xlfn.TEXTSPLIT(A596,","))</f>
        <v/>
      </c>
      <c r="G596" s="1" t="str">
        <f t="shared" si="9"/>
        <v/>
      </c>
      <c r="H596" t="e" cm="1">
        <f t="array" ref="H596">_xlfn.TEXTSPLIT(E596,"/")</f>
        <v>#VALUE!</v>
      </c>
    </row>
    <row r="597" spans="2:8" x14ac:dyDescent="0.3">
      <c r="B597" t="str">
        <f>IF(COUNTIF(C597:I597,UI!B$2)=0,"/nope/",ROW(A597)-1)</f>
        <v>/nope/</v>
      </c>
      <c r="C597" s="1" t="str" cm="1">
        <f t="array" ref="C597">IF(A597="","",_xlfn.TEXTSPLIT(A597,","))</f>
        <v/>
      </c>
      <c r="G597" s="1" t="str">
        <f t="shared" si="9"/>
        <v/>
      </c>
      <c r="H597" t="e" cm="1">
        <f t="array" ref="H597">_xlfn.TEXTSPLIT(E597,"/")</f>
        <v>#VALUE!</v>
      </c>
    </row>
    <row r="598" spans="2:8" x14ac:dyDescent="0.3">
      <c r="B598" t="str">
        <f>IF(COUNTIF(C598:I598,UI!B$2)=0,"/nope/",ROW(A598)-1)</f>
        <v>/nope/</v>
      </c>
      <c r="C598" s="1" t="str" cm="1">
        <f t="array" ref="C598">IF(A598="","",_xlfn.TEXTSPLIT(A598,","))</f>
        <v/>
      </c>
      <c r="G598" s="1" t="str">
        <f t="shared" si="9"/>
        <v/>
      </c>
      <c r="H598" t="e" cm="1">
        <f t="array" ref="H598">_xlfn.TEXTSPLIT(E598,"/")</f>
        <v>#VALUE!</v>
      </c>
    </row>
    <row r="599" spans="2:8" x14ac:dyDescent="0.3">
      <c r="B599" t="str">
        <f>IF(COUNTIF(C599:I599,UI!B$2)=0,"/nope/",ROW(A599)-1)</f>
        <v>/nope/</v>
      </c>
      <c r="C599" s="1" t="str" cm="1">
        <f t="array" ref="C599">IF(A599="","",_xlfn.TEXTSPLIT(A599,","))</f>
        <v/>
      </c>
      <c r="G599" s="1" t="str">
        <f t="shared" si="9"/>
        <v/>
      </c>
      <c r="H599" t="e" cm="1">
        <f t="array" ref="H599">_xlfn.TEXTSPLIT(E599,"/")</f>
        <v>#VALUE!</v>
      </c>
    </row>
    <row r="600" spans="2:8" x14ac:dyDescent="0.3">
      <c r="B600" t="str">
        <f>IF(COUNTIF(C600:I600,UI!B$2)=0,"/nope/",ROW(A600)-1)</f>
        <v>/nope/</v>
      </c>
      <c r="C600" s="1" t="str" cm="1">
        <f t="array" ref="C600">IF(A600="","",_xlfn.TEXTSPLIT(A600,","))</f>
        <v/>
      </c>
      <c r="G600" s="1" t="str">
        <f t="shared" si="9"/>
        <v/>
      </c>
      <c r="H600" t="e" cm="1">
        <f t="array" ref="H600">_xlfn.TEXTSPLIT(E600,"/")</f>
        <v>#VALUE!</v>
      </c>
    </row>
    <row r="601" spans="2:8" x14ac:dyDescent="0.3">
      <c r="B601" t="str">
        <f>IF(COUNTIF(C601:I601,UI!B$2)=0,"/nope/",ROW(A601)-1)</f>
        <v>/nope/</v>
      </c>
      <c r="C601" s="1" t="str" cm="1">
        <f t="array" ref="C601">IF(A601="","",_xlfn.TEXTSPLIT(A601,","))</f>
        <v/>
      </c>
      <c r="G601" s="1" t="str">
        <f t="shared" si="9"/>
        <v/>
      </c>
      <c r="H601" t="e" cm="1">
        <f t="array" ref="H601">_xlfn.TEXTSPLIT(E601,"/")</f>
        <v>#VALUE!</v>
      </c>
    </row>
    <row r="602" spans="2:8" x14ac:dyDescent="0.3">
      <c r="B602" t="str">
        <f>IF(COUNTIF(C602:I602,UI!B$2)=0,"/nope/",ROW(A602)-1)</f>
        <v>/nope/</v>
      </c>
      <c r="C602" s="1" t="str" cm="1">
        <f t="array" ref="C602">IF(A602="","",_xlfn.TEXTSPLIT(A602,","))</f>
        <v/>
      </c>
      <c r="G602" s="1" t="str">
        <f t="shared" si="9"/>
        <v/>
      </c>
      <c r="H602" t="e" cm="1">
        <f t="array" ref="H602">_xlfn.TEXTSPLIT(E602,"/")</f>
        <v>#VALUE!</v>
      </c>
    </row>
    <row r="603" spans="2:8" x14ac:dyDescent="0.3">
      <c r="B603" t="str">
        <f>IF(COUNTIF(C603:I603,UI!B$2)=0,"/nope/",ROW(A603)-1)</f>
        <v>/nope/</v>
      </c>
      <c r="C603" s="1" t="str" cm="1">
        <f t="array" ref="C603">IF(A603="","",_xlfn.TEXTSPLIT(A603,","))</f>
        <v/>
      </c>
      <c r="G603" s="1" t="str">
        <f t="shared" si="9"/>
        <v/>
      </c>
      <c r="H603" t="e" cm="1">
        <f t="array" ref="H603">_xlfn.TEXTSPLIT(E603,"/")</f>
        <v>#VALUE!</v>
      </c>
    </row>
    <row r="604" spans="2:8" x14ac:dyDescent="0.3">
      <c r="B604" t="str">
        <f>IF(COUNTIF(C604:I604,UI!B$2)=0,"/nope/",ROW(A604)-1)</f>
        <v>/nope/</v>
      </c>
      <c r="C604" s="1" t="str" cm="1">
        <f t="array" ref="C604">IF(A604="","",_xlfn.TEXTSPLIT(A604,","))</f>
        <v/>
      </c>
      <c r="G604" s="1" t="str">
        <f t="shared" si="9"/>
        <v/>
      </c>
      <c r="H604" t="e" cm="1">
        <f t="array" ref="H604">_xlfn.TEXTSPLIT(E604,"/")</f>
        <v>#VALUE!</v>
      </c>
    </row>
    <row r="605" spans="2:8" x14ac:dyDescent="0.3">
      <c r="B605" t="str">
        <f>IF(COUNTIF(C605:I605,UI!B$2)=0,"/nope/",ROW(A605)-1)</f>
        <v>/nope/</v>
      </c>
      <c r="C605" s="1" t="str" cm="1">
        <f t="array" ref="C605">IF(A605="","",_xlfn.TEXTSPLIT(A605,","))</f>
        <v/>
      </c>
      <c r="G605" s="1" t="str">
        <f t="shared" si="9"/>
        <v/>
      </c>
      <c r="H605" t="e" cm="1">
        <f t="array" ref="H605">_xlfn.TEXTSPLIT(E605,"/")</f>
        <v>#VALUE!</v>
      </c>
    </row>
    <row r="606" spans="2:8" x14ac:dyDescent="0.3">
      <c r="B606" t="str">
        <f>IF(COUNTIF(C606:I606,UI!B$2)=0,"/nope/",ROW(A606)-1)</f>
        <v>/nope/</v>
      </c>
      <c r="C606" s="1" t="str" cm="1">
        <f t="array" ref="C606">IF(A606="","",_xlfn.TEXTSPLIT(A606,","))</f>
        <v/>
      </c>
      <c r="G606" s="1" t="str">
        <f t="shared" si="9"/>
        <v/>
      </c>
      <c r="H606" t="e" cm="1">
        <f t="array" ref="H606">_xlfn.TEXTSPLIT(E606,"/")</f>
        <v>#VALUE!</v>
      </c>
    </row>
    <row r="607" spans="2:8" x14ac:dyDescent="0.3">
      <c r="B607" t="str">
        <f>IF(COUNTIF(C607:I607,UI!B$2)=0,"/nope/",ROW(A607)-1)</f>
        <v>/nope/</v>
      </c>
      <c r="C607" s="1" t="str" cm="1">
        <f t="array" ref="C607">IF(A607="","",_xlfn.TEXTSPLIT(A607,","))</f>
        <v/>
      </c>
      <c r="G607" s="1" t="str">
        <f t="shared" si="9"/>
        <v/>
      </c>
      <c r="H607" t="e" cm="1">
        <f t="array" ref="H607">_xlfn.TEXTSPLIT(E607,"/")</f>
        <v>#VALUE!</v>
      </c>
    </row>
    <row r="608" spans="2:8" x14ac:dyDescent="0.3">
      <c r="B608" t="str">
        <f>IF(COUNTIF(C608:I608,UI!B$2)=0,"/nope/",ROW(A608)-1)</f>
        <v>/nope/</v>
      </c>
      <c r="C608" s="1" t="str" cm="1">
        <f t="array" ref="C608">IF(A608="","",_xlfn.TEXTSPLIT(A608,","))</f>
        <v/>
      </c>
      <c r="G608" s="1" t="str">
        <f t="shared" si="9"/>
        <v/>
      </c>
      <c r="H608" t="e" cm="1">
        <f t="array" ref="H608">_xlfn.TEXTSPLIT(E608,"/")</f>
        <v>#VALUE!</v>
      </c>
    </row>
    <row r="609" spans="2:8" x14ac:dyDescent="0.3">
      <c r="B609" t="str">
        <f>IF(COUNTIF(C609:I609,UI!B$2)=0,"/nope/",ROW(A609)-1)</f>
        <v>/nope/</v>
      </c>
      <c r="C609" s="1" t="str" cm="1">
        <f t="array" ref="C609">IF(A609="","",_xlfn.TEXTSPLIT(A609,","))</f>
        <v/>
      </c>
      <c r="G609" s="1" t="str">
        <f t="shared" si="9"/>
        <v/>
      </c>
      <c r="H609" t="e" cm="1">
        <f t="array" ref="H609">_xlfn.TEXTSPLIT(E609,"/")</f>
        <v>#VALUE!</v>
      </c>
    </row>
    <row r="610" spans="2:8" x14ac:dyDescent="0.3">
      <c r="B610" t="str">
        <f>IF(COUNTIF(C610:I610,UI!B$2)=0,"/nope/",ROW(A610)-1)</f>
        <v>/nope/</v>
      </c>
      <c r="C610" s="1" t="str" cm="1">
        <f t="array" ref="C610">IF(A610="","",_xlfn.TEXTSPLIT(A610,","))</f>
        <v/>
      </c>
      <c r="G610" s="1" t="str">
        <f t="shared" si="9"/>
        <v/>
      </c>
      <c r="H610" t="e" cm="1">
        <f t="array" ref="H610">_xlfn.TEXTSPLIT(E610,"/")</f>
        <v>#VALUE!</v>
      </c>
    </row>
    <row r="611" spans="2:8" x14ac:dyDescent="0.3">
      <c r="B611" t="str">
        <f>IF(COUNTIF(C611:I611,UI!B$2)=0,"/nope/",ROW(A611)-1)</f>
        <v>/nope/</v>
      </c>
      <c r="C611" s="1" t="str" cm="1">
        <f t="array" ref="C611">IF(A611="","",_xlfn.TEXTSPLIT(A611,","))</f>
        <v/>
      </c>
      <c r="G611" s="1" t="str">
        <f t="shared" si="9"/>
        <v/>
      </c>
      <c r="H611" t="e" cm="1">
        <f t="array" ref="H611">_xlfn.TEXTSPLIT(E611,"/")</f>
        <v>#VALUE!</v>
      </c>
    </row>
    <row r="612" spans="2:8" x14ac:dyDescent="0.3">
      <c r="B612" t="str">
        <f>IF(COUNTIF(C612:I612,UI!B$2)=0,"/nope/",ROW(A612)-1)</f>
        <v>/nope/</v>
      </c>
      <c r="C612" s="1" t="str" cm="1">
        <f t="array" ref="C612">IF(A612="","",_xlfn.TEXTSPLIT(A612,","))</f>
        <v/>
      </c>
      <c r="G612" s="1" t="str">
        <f t="shared" si="9"/>
        <v/>
      </c>
      <c r="H612" t="e" cm="1">
        <f t="array" ref="H612">_xlfn.TEXTSPLIT(E612,"/")</f>
        <v>#VALUE!</v>
      </c>
    </row>
    <row r="613" spans="2:8" x14ac:dyDescent="0.3">
      <c r="B613" t="str">
        <f>IF(COUNTIF(C613:I613,UI!B$2)=0,"/nope/",ROW(A613)-1)</f>
        <v>/nope/</v>
      </c>
      <c r="C613" s="1" t="str" cm="1">
        <f t="array" ref="C613">IF(A613="","",_xlfn.TEXTSPLIT(A613,","))</f>
        <v/>
      </c>
      <c r="G613" s="1" t="str">
        <f t="shared" si="9"/>
        <v/>
      </c>
      <c r="H613" t="e" cm="1">
        <f t="array" ref="H613">_xlfn.TEXTSPLIT(E613,"/")</f>
        <v>#VALUE!</v>
      </c>
    </row>
    <row r="614" spans="2:8" x14ac:dyDescent="0.3">
      <c r="B614" t="str">
        <f>IF(COUNTIF(C614:I614,UI!B$2)=0,"/nope/",ROW(A614)-1)</f>
        <v>/nope/</v>
      </c>
      <c r="C614" s="1" t="str" cm="1">
        <f t="array" ref="C614">IF(A614="","",_xlfn.TEXTSPLIT(A614,","))</f>
        <v/>
      </c>
      <c r="G614" s="1" t="str">
        <f t="shared" si="9"/>
        <v/>
      </c>
      <c r="H614" t="e" cm="1">
        <f t="array" ref="H614">_xlfn.TEXTSPLIT(E614,"/")</f>
        <v>#VALUE!</v>
      </c>
    </row>
    <row r="615" spans="2:8" x14ac:dyDescent="0.3">
      <c r="B615" t="str">
        <f>IF(COUNTIF(C615:I615,UI!B$2)=0,"/nope/",ROW(A615)-1)</f>
        <v>/nope/</v>
      </c>
      <c r="C615" s="1" t="str" cm="1">
        <f t="array" ref="C615">IF(A615="","",_xlfn.TEXTSPLIT(A615,","))</f>
        <v/>
      </c>
      <c r="G615" s="1" t="str">
        <f t="shared" si="9"/>
        <v/>
      </c>
      <c r="H615" t="e" cm="1">
        <f t="array" ref="H615">_xlfn.TEXTSPLIT(E615,"/")</f>
        <v>#VALUE!</v>
      </c>
    </row>
    <row r="616" spans="2:8" x14ac:dyDescent="0.3">
      <c r="B616" t="str">
        <f>IF(COUNTIF(C616:I616,UI!B$2)=0,"/nope/",ROW(A616)-1)</f>
        <v>/nope/</v>
      </c>
      <c r="C616" s="1" t="str" cm="1">
        <f t="array" ref="C616">IF(A616="","",_xlfn.TEXTSPLIT(A616,","))</f>
        <v/>
      </c>
      <c r="G616" s="1" t="str">
        <f t="shared" si="9"/>
        <v/>
      </c>
      <c r="H616" t="e" cm="1">
        <f t="array" ref="H616">_xlfn.TEXTSPLIT(E616,"/")</f>
        <v>#VALUE!</v>
      </c>
    </row>
    <row r="617" spans="2:8" x14ac:dyDescent="0.3">
      <c r="B617" t="str">
        <f>IF(COUNTIF(C617:I617,UI!B$2)=0,"/nope/",ROW(A617)-1)</f>
        <v>/nope/</v>
      </c>
      <c r="C617" s="1" t="str" cm="1">
        <f t="array" ref="C617">IF(A617="","",_xlfn.TEXTSPLIT(A617,","))</f>
        <v/>
      </c>
      <c r="G617" s="1" t="str">
        <f t="shared" si="9"/>
        <v/>
      </c>
      <c r="H617" t="e" cm="1">
        <f t="array" ref="H617">_xlfn.TEXTSPLIT(E617,"/")</f>
        <v>#VALUE!</v>
      </c>
    </row>
    <row r="618" spans="2:8" x14ac:dyDescent="0.3">
      <c r="B618" t="str">
        <f>IF(COUNTIF(C618:I618,UI!B$2)=0,"/nope/",ROW(A618)-1)</f>
        <v>/nope/</v>
      </c>
      <c r="C618" s="1" t="str" cm="1">
        <f t="array" ref="C618">IF(A618="","",_xlfn.TEXTSPLIT(A618,","))</f>
        <v/>
      </c>
      <c r="G618" s="1" t="str">
        <f t="shared" si="9"/>
        <v/>
      </c>
      <c r="H618" t="e" cm="1">
        <f t="array" ref="H618">_xlfn.TEXTSPLIT(E618,"/")</f>
        <v>#VALUE!</v>
      </c>
    </row>
    <row r="619" spans="2:8" x14ac:dyDescent="0.3">
      <c r="B619" t="str">
        <f>IF(COUNTIF(C619:I619,UI!B$2)=0,"/nope/",ROW(A619)-1)</f>
        <v>/nope/</v>
      </c>
      <c r="C619" s="1" t="str" cm="1">
        <f t="array" ref="C619">IF(A619="","",_xlfn.TEXTSPLIT(A619,","))</f>
        <v/>
      </c>
      <c r="G619" s="1" t="str">
        <f t="shared" si="9"/>
        <v/>
      </c>
      <c r="H619" t="e" cm="1">
        <f t="array" ref="H619">_xlfn.TEXTSPLIT(E619,"/")</f>
        <v>#VALUE!</v>
      </c>
    </row>
    <row r="620" spans="2:8" x14ac:dyDescent="0.3">
      <c r="B620" t="str">
        <f>IF(COUNTIF(C620:I620,UI!B$2)=0,"/nope/",ROW(A620)-1)</f>
        <v>/nope/</v>
      </c>
      <c r="C620" s="1" t="str" cm="1">
        <f t="array" ref="C620">IF(A620="","",_xlfn.TEXTSPLIT(A620,","))</f>
        <v/>
      </c>
      <c r="G620" s="1" t="str">
        <f t="shared" si="9"/>
        <v/>
      </c>
      <c r="H620" t="e" cm="1">
        <f t="array" ref="H620">_xlfn.TEXTSPLIT(E620,"/")</f>
        <v>#VALUE!</v>
      </c>
    </row>
    <row r="621" spans="2:8" x14ac:dyDescent="0.3">
      <c r="B621" t="str">
        <f>IF(COUNTIF(C621:I621,UI!B$2)=0,"/nope/",ROW(A621)-1)</f>
        <v>/nope/</v>
      </c>
      <c r="C621" s="1" t="str" cm="1">
        <f t="array" ref="C621">IF(A621="","",_xlfn.TEXTSPLIT(A621,","))</f>
        <v/>
      </c>
      <c r="G621" s="1" t="str">
        <f t="shared" si="9"/>
        <v/>
      </c>
      <c r="H621" t="e" cm="1">
        <f t="array" ref="H621">_xlfn.TEXTSPLIT(E621,"/")</f>
        <v>#VALUE!</v>
      </c>
    </row>
    <row r="622" spans="2:8" x14ac:dyDescent="0.3">
      <c r="B622" t="str">
        <f>IF(COUNTIF(C622:I622,UI!B$2)=0,"/nope/",ROW(A622)-1)</f>
        <v>/nope/</v>
      </c>
      <c r="C622" s="1" t="str" cm="1">
        <f t="array" ref="C622">IF(A622="","",_xlfn.TEXTSPLIT(A622,","))</f>
        <v/>
      </c>
      <c r="G622" s="1" t="str">
        <f t="shared" si="9"/>
        <v/>
      </c>
      <c r="H622" t="e" cm="1">
        <f t="array" ref="H622">_xlfn.TEXTSPLIT(E622,"/")</f>
        <v>#VALUE!</v>
      </c>
    </row>
    <row r="623" spans="2:8" x14ac:dyDescent="0.3">
      <c r="B623" t="str">
        <f>IF(COUNTIF(C623:I623,UI!B$2)=0,"/nope/",ROW(A623)-1)</f>
        <v>/nope/</v>
      </c>
      <c r="C623" s="1" t="str" cm="1">
        <f t="array" ref="C623">IF(A623="","",_xlfn.TEXTSPLIT(A623,","))</f>
        <v/>
      </c>
      <c r="G623" s="1" t="str">
        <f t="shared" si="9"/>
        <v/>
      </c>
      <c r="H623" t="e" cm="1">
        <f t="array" ref="H623">_xlfn.TEXTSPLIT(E623,"/")</f>
        <v>#VALUE!</v>
      </c>
    </row>
    <row r="624" spans="2:8" x14ac:dyDescent="0.3">
      <c r="B624" t="str">
        <f>IF(COUNTIF(C624:I624,UI!B$2)=0,"/nope/",ROW(A624)-1)</f>
        <v>/nope/</v>
      </c>
      <c r="C624" s="1" t="str" cm="1">
        <f t="array" ref="C624">IF(A624="","",_xlfn.TEXTSPLIT(A624,","))</f>
        <v/>
      </c>
      <c r="G624" s="1" t="str">
        <f t="shared" si="9"/>
        <v/>
      </c>
      <c r="H624" t="e" cm="1">
        <f t="array" ref="H624">_xlfn.TEXTSPLIT(E624,"/")</f>
        <v>#VALUE!</v>
      </c>
    </row>
    <row r="625" spans="2:8" x14ac:dyDescent="0.3">
      <c r="B625" t="str">
        <f>IF(COUNTIF(C625:I625,UI!B$2)=0,"/nope/",ROW(A625)-1)</f>
        <v>/nope/</v>
      </c>
      <c r="C625" s="1" t="str" cm="1">
        <f t="array" ref="C625">IF(A625="","",_xlfn.TEXTSPLIT(A625,","))</f>
        <v/>
      </c>
      <c r="G625" s="1" t="str">
        <f t="shared" si="9"/>
        <v/>
      </c>
      <c r="H625" t="e" cm="1">
        <f t="array" ref="H625">_xlfn.TEXTSPLIT(E625,"/")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UI</vt:lpstr>
      <vt:lpstr>Rooster</vt:lpstr>
      <vt:lpstr>Lessen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Floris Rylant</dc:creator>
  <cp:lastModifiedBy>Floris Rylant</cp:lastModifiedBy>
  <dcterms:created xsi:type="dcterms:W3CDTF">2026-02-10T12:41:02Z</dcterms:created>
  <dcterms:modified xsi:type="dcterms:W3CDTF">2026-02-12T15:34:11Z</dcterms:modified>
</cp:coreProperties>
</file>